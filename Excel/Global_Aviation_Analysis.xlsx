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Global_Aviation_Analysis\Excel\"/>
    </mc:Choice>
  </mc:AlternateContent>
  <xr:revisionPtr revIDLastSave="0" documentId="13_ncr:1_{D6A6EC3B-7BF6-4BB6-8631-A6A5AB43EC74}" xr6:coauthVersionLast="47" xr6:coauthVersionMax="47" xr10:uidLastSave="{00000000-0000-0000-0000-000000000000}"/>
  <bookViews>
    <workbookView xWindow="-120" yWindow="-120" windowWidth="20730" windowHeight="11160" tabRatio="759" firstSheet="3" activeTab="6" xr2:uid="{26EE5C31-7C22-4F5E-9AE9-7C0903970DDE}"/>
  </bookViews>
  <sheets>
    <sheet name="airline_financials" sheetId="2" r:id="rId1"/>
    <sheet name="fleet_orders" sheetId="4" r:id="rId2"/>
    <sheet name="passenger_traffic" sheetId="6" r:id="rId3"/>
    <sheet name="route_performance" sheetId="7" r:id="rId4"/>
    <sheet name="aviation_incidents" sheetId="8" r:id="rId5"/>
    <sheet name="Analysis" sheetId="5" r:id="rId6"/>
    <sheet name="Dashboard" sheetId="10" r:id="rId7"/>
  </sheets>
  <definedNames>
    <definedName name="ExternalData_1" localSheetId="0" hidden="1">airline_financials!$A$1:$L$498</definedName>
    <definedName name="ExternalData_1" localSheetId="4" hidden="1">aviation_incidents!$A$1:$O$41</definedName>
    <definedName name="ExternalData_1" localSheetId="1" hidden="1">fleet_orders!$A$1:$J$87</definedName>
    <definedName name="ExternalData_1" localSheetId="2" hidden="1">passenger_traffic!$A$1:$G$1177</definedName>
    <definedName name="ExternalData_1" localSheetId="3" hidden="1">route_performance!$A$1:$K$401</definedName>
    <definedName name="_xlnm.Print_Area" localSheetId="6">Dashboard!$A$1:$Z$39</definedName>
    <definedName name="Slicer_airline_name">#N/A</definedName>
    <definedName name="Slicer_business_model">#N/A</definedName>
    <definedName name="Slicer_manufacturer">#N/A</definedName>
    <definedName name="Slicer_region">#N/A</definedName>
    <definedName name="Slicer_year">#N/A</definedName>
  </definedNames>
  <calcPr calcId="191029"/>
  <pivotCaches>
    <pivotCache cacheId="73" r:id="rId8"/>
    <pivotCache cacheId="45" r:id="rId9"/>
    <pivotCache cacheId="50" r:id="rId10"/>
    <pivotCache cacheId="63" r:id="rId11"/>
    <pivotCache cacheId="72"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4" i="5" l="1"/>
  <c r="I4" i="5"/>
  <c r="G4" i="5"/>
  <c r="E4" i="5"/>
  <c r="C4" i="5"/>
  <c r="A4" i="5"/>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6A936F-3B6E-4158-9958-B8476967DFFB}" keepAlive="1" name="Query - airline_financials" description="Connection to the 'airline_financials' query in the workbook." type="5" refreshedVersion="8" background="1" saveData="1">
    <dbPr connection="Provider=Microsoft.Mashup.OleDb.1;Data Source=$Workbook$;Location=airline_financials;Extended Properties=&quot;&quot;" command="SELECT * FROM [airline_financials]"/>
  </connection>
  <connection id="2" xr16:uid="{EAB12679-D9BB-4C5D-9315-8272C3129DC8}" keepAlive="1" name="Query - aviation_incidents" description="Connection to the 'aviation_incidents' query in the workbook." type="5" refreshedVersion="8" background="1" saveData="1">
    <dbPr connection="Provider=Microsoft.Mashup.OleDb.1;Data Source=$Workbook$;Location=aviation_incidents;Extended Properties=&quot;&quot;" command="SELECT * FROM [aviation_incidents]"/>
  </connection>
  <connection id="3" xr16:uid="{74AC7579-888D-46D9-8C45-CAC207EE0207}" keepAlive="1" name="Query - fleet_orders" description="Connection to the 'fleet_orders' query in the workbook." type="5" refreshedVersion="8" background="1" saveData="1">
    <dbPr connection="Provider=Microsoft.Mashup.OleDb.1;Data Source=$Workbook$;Location=fleet_orders;Extended Properties=&quot;&quot;" command="SELECT * FROM [fleet_orders]"/>
  </connection>
  <connection id="4" xr16:uid="{8805D513-8D6B-44BC-8E01-01A7B5ECAE64}" keepAlive="1" name="Query - passenger_traffic" description="Connection to the 'passenger_traffic' query in the workbook." type="5" refreshedVersion="8" background="1" saveData="1">
    <dbPr connection="Provider=Microsoft.Mashup.OleDb.1;Data Source=$Workbook$;Location=passenger_traffic;Extended Properties=&quot;&quot;" command="SELECT * FROM [passenger_traffic]"/>
  </connection>
  <connection id="5" xr16:uid="{2651FFCC-9E62-4B40-A948-FACAD374BA2C}" keepAlive="1" name="Query - route_performance" description="Connection to the 'route_performance' query in the workbook." type="5" refreshedVersion="8" background="1" saveData="1">
    <dbPr connection="Provider=Microsoft.Mashup.OleDb.1;Data Source=$Workbook$;Location=route_performance;Extended Properties=&quot;&quot;" command="SELECT * FROM [route_performance]"/>
  </connection>
</connections>
</file>

<file path=xl/sharedStrings.xml><?xml version="1.0" encoding="utf-8"?>
<sst xmlns="http://schemas.openxmlformats.org/spreadsheetml/2006/main" count="6471" uniqueCount="557">
  <si>
    <t>year</t>
  </si>
  <si>
    <t>airline_name</t>
  </si>
  <si>
    <t>iata_code</t>
  </si>
  <si>
    <t>country_iso3</t>
  </si>
  <si>
    <t>region</t>
  </si>
  <si>
    <t>business_model</t>
  </si>
  <si>
    <t>revenue_usd_bn</t>
  </si>
  <si>
    <t>operating_margin_pct</t>
  </si>
  <si>
    <t>operating_income_usd_bn</t>
  </si>
  <si>
    <t>passengers_carried_m</t>
  </si>
  <si>
    <t>load_factor_pct</t>
  </si>
  <si>
    <t>fleet_size_est</t>
  </si>
  <si>
    <t>Delta Air Lines</t>
  </si>
  <si>
    <t>DAL</t>
  </si>
  <si>
    <t>USA</t>
  </si>
  <si>
    <t>North America</t>
  </si>
  <si>
    <t>legacy</t>
  </si>
  <si>
    <t>United Airlines</t>
  </si>
  <si>
    <t>UAL</t>
  </si>
  <si>
    <t>American Airlines</t>
  </si>
  <si>
    <t>AAL</t>
  </si>
  <si>
    <t>Southwest Airlines</t>
  </si>
  <si>
    <t>LUV</t>
  </si>
  <si>
    <t>low_cost</t>
  </si>
  <si>
    <t>Alaska Airlines</t>
  </si>
  <si>
    <t>ALK</t>
  </si>
  <si>
    <t>regional</t>
  </si>
  <si>
    <t>JetBlue</t>
  </si>
  <si>
    <t>JBLU</t>
  </si>
  <si>
    <t>Lufthansa Group</t>
  </si>
  <si>
    <t>LHA</t>
  </si>
  <si>
    <t>DEU</t>
  </si>
  <si>
    <t>Europe</t>
  </si>
  <si>
    <t>IAG (British Airways)</t>
  </si>
  <si>
    <t>IAG</t>
  </si>
  <si>
    <t>GBR</t>
  </si>
  <si>
    <t>Air France-KLM</t>
  </si>
  <si>
    <t>AFR</t>
  </si>
  <si>
    <t>FRA</t>
  </si>
  <si>
    <t>Ryanair</t>
  </si>
  <si>
    <t>RYA</t>
  </si>
  <si>
    <t>IRL</t>
  </si>
  <si>
    <t>easyJet</t>
  </si>
  <si>
    <t>EZJ</t>
  </si>
  <si>
    <t>Turkish Airlines</t>
  </si>
  <si>
    <t>THY</t>
  </si>
  <si>
    <t>TUR</t>
  </si>
  <si>
    <t>Aeroflot</t>
  </si>
  <si>
    <t>AFL</t>
  </si>
  <si>
    <t>RUS</t>
  </si>
  <si>
    <t>China Southern</t>
  </si>
  <si>
    <t>CZ</t>
  </si>
  <si>
    <t>CHN</t>
  </si>
  <si>
    <t>Asia</t>
  </si>
  <si>
    <t>Air China</t>
  </si>
  <si>
    <t>CA</t>
  </si>
  <si>
    <t>China Eastern</t>
  </si>
  <si>
    <t>MU</t>
  </si>
  <si>
    <t>Japan Airlines</t>
  </si>
  <si>
    <t>JAL</t>
  </si>
  <si>
    <t>JPN</t>
  </si>
  <si>
    <t>ANA Holdings</t>
  </si>
  <si>
    <t>ANA</t>
  </si>
  <si>
    <t>Singapore Airlines</t>
  </si>
  <si>
    <t>SIA</t>
  </si>
  <si>
    <t>SGP</t>
  </si>
  <si>
    <t>Cathay Pacific</t>
  </si>
  <si>
    <t>CPA</t>
  </si>
  <si>
    <t>HKG</t>
  </si>
  <si>
    <t>Korean Air</t>
  </si>
  <si>
    <t>KAL</t>
  </si>
  <si>
    <t>KOR</t>
  </si>
  <si>
    <t>IndiGo</t>
  </si>
  <si>
    <t>IGO</t>
  </si>
  <si>
    <t>IND</t>
  </si>
  <si>
    <t>AirAsia</t>
  </si>
  <si>
    <t>AIA</t>
  </si>
  <si>
    <t>MYS</t>
  </si>
  <si>
    <t>Emirates</t>
  </si>
  <si>
    <t>EK</t>
  </si>
  <si>
    <t>ARE</t>
  </si>
  <si>
    <t>Middle East</t>
  </si>
  <si>
    <t>Qatar Airways</t>
  </si>
  <si>
    <t>QR</t>
  </si>
  <si>
    <t>QAT</t>
  </si>
  <si>
    <t>Etihad</t>
  </si>
  <si>
    <t>EY</t>
  </si>
  <si>
    <t>Saudia</t>
  </si>
  <si>
    <t>SVA</t>
  </si>
  <si>
    <t>SAU</t>
  </si>
  <si>
    <t>Riyadh Air</t>
  </si>
  <si>
    <t>RXI</t>
  </si>
  <si>
    <t>LATAM Airlines</t>
  </si>
  <si>
    <t>LAN</t>
  </si>
  <si>
    <t>CHL</t>
  </si>
  <si>
    <t>Latin America</t>
  </si>
  <si>
    <t>Azul</t>
  </si>
  <si>
    <t>AZUL</t>
  </si>
  <si>
    <t>BRA</t>
  </si>
  <si>
    <t>manufacturer</t>
  </si>
  <si>
    <t>aircraft_family</t>
  </si>
  <si>
    <t>orders_gross</t>
  </si>
  <si>
    <t>orders_net</t>
  </si>
  <si>
    <t>deliveries</t>
  </si>
  <si>
    <t>backlog_end_of_year</t>
  </si>
  <si>
    <t>is_widebody</t>
  </si>
  <si>
    <t>is_narrowbody</t>
  </si>
  <si>
    <t>is_regional</t>
  </si>
  <si>
    <t>Airbus</t>
  </si>
  <si>
    <t>A320 family</t>
  </si>
  <si>
    <t>A330/340/350/380</t>
  </si>
  <si>
    <t>Boeing</t>
  </si>
  <si>
    <t>737</t>
  </si>
  <si>
    <t>747/767/777/787</t>
  </si>
  <si>
    <t>COMAC</t>
  </si>
  <si>
    <t>C919</t>
  </si>
  <si>
    <t>Embraer</t>
  </si>
  <si>
    <t>E-Jet/E2</t>
  </si>
  <si>
    <t>year_month</t>
  </si>
  <si>
    <t>month</t>
  </si>
  <si>
    <t>rpk_billions</t>
  </si>
  <si>
    <t>ask_billions</t>
  </si>
  <si>
    <t>Asia Pacific</t>
  </si>
  <si>
    <t>Africa</t>
  </si>
  <si>
    <t>route</t>
  </si>
  <si>
    <t>origin_iata</t>
  </si>
  <si>
    <t>destination_iata</t>
  </si>
  <si>
    <t>distance_km</t>
  </si>
  <si>
    <t>main_airlines</t>
  </si>
  <si>
    <t>annual_passengers_m</t>
  </si>
  <si>
    <t>avg_fare_usd</t>
  </si>
  <si>
    <t>weekly_frequency_est</t>
  </si>
  <si>
    <t>annual_revenue_usd_m</t>
  </si>
  <si>
    <t>Jeju-Seoul</t>
  </si>
  <si>
    <t>CJU</t>
  </si>
  <si>
    <t>GMP</t>
  </si>
  <si>
    <t>Korean Air, Asiana, JeJu Air</t>
  </si>
  <si>
    <t>Tokyo-Sapporo</t>
  </si>
  <si>
    <t>HND</t>
  </si>
  <si>
    <t>CTS</t>
  </si>
  <si>
    <t>ANA, JAL</t>
  </si>
  <si>
    <t>Melbourne-Sydney</t>
  </si>
  <si>
    <t>MEL</t>
  </si>
  <si>
    <t>SYD</t>
  </si>
  <si>
    <t>Oceania</t>
  </si>
  <si>
    <t>Qantas, Virgin Australia</t>
  </si>
  <si>
    <t>Mumbai-Delhi</t>
  </si>
  <si>
    <t>BOM</t>
  </si>
  <si>
    <t>DEL</t>
  </si>
  <si>
    <t>IndiGo, Air India, Vistara</t>
  </si>
  <si>
    <t>Beijing-Shanghai</t>
  </si>
  <si>
    <t>PEK</t>
  </si>
  <si>
    <t>SHA</t>
  </si>
  <si>
    <t>Air China, China Eastern</t>
  </si>
  <si>
    <t>Hong Kong-Taipei</t>
  </si>
  <si>
    <t>TPE</t>
  </si>
  <si>
    <t>Cathay Pacific, China Airlines</t>
  </si>
  <si>
    <t>Singapore-Kuala Lumpur</t>
  </si>
  <si>
    <t>SIN</t>
  </si>
  <si>
    <t>KUL</t>
  </si>
  <si>
    <t>Singapore, AirAsia, Malaysia</t>
  </si>
  <si>
    <t>Dubai-London</t>
  </si>
  <si>
    <t>DXB</t>
  </si>
  <si>
    <t>LHR</t>
  </si>
  <si>
    <t>Emirates, British Airways</t>
  </si>
  <si>
    <t>Dubai-Mumbai</t>
  </si>
  <si>
    <t>Emirates, Air India</t>
  </si>
  <si>
    <t>Doha-London</t>
  </si>
  <si>
    <t>DOH</t>
  </si>
  <si>
    <t>Qatar Airways, British Airways</t>
  </si>
  <si>
    <t>Istanbul-London</t>
  </si>
  <si>
    <t>IST</t>
  </si>
  <si>
    <t>Turkish, British Airways</t>
  </si>
  <si>
    <t>London-New York</t>
  </si>
  <si>
    <t>JFK</t>
  </si>
  <si>
    <t>Atlantic</t>
  </si>
  <si>
    <t>British Airways, Delta, American</t>
  </si>
  <si>
    <t>London-Paris</t>
  </si>
  <si>
    <t>CDG</t>
  </si>
  <si>
    <t>Air France, British Airways</t>
  </si>
  <si>
    <t>Frankfurt-New York</t>
  </si>
  <si>
    <t>Lufthansa, United</t>
  </si>
  <si>
    <t>Madrid-Buenos Aires</t>
  </si>
  <si>
    <t>MAD</t>
  </si>
  <si>
    <t>EZE</t>
  </si>
  <si>
    <t>Iberia, Aerolineas Argentinas</t>
  </si>
  <si>
    <t>Paris-Dubai</t>
  </si>
  <si>
    <t>Europe-ME</t>
  </si>
  <si>
    <t>Emirates, Air France</t>
  </si>
  <si>
    <t>Atlanta-Los Angeles</t>
  </si>
  <si>
    <t>ATL</t>
  </si>
  <si>
    <t>LAX</t>
  </si>
  <si>
    <t>Delta, American</t>
  </si>
  <si>
    <t>New York-Los Angeles</t>
  </si>
  <si>
    <t>Delta, JetBlue, American, United</t>
  </si>
  <si>
    <t>Chicago-New York</t>
  </si>
  <si>
    <t>ORD</t>
  </si>
  <si>
    <t>LGA</t>
  </si>
  <si>
    <t>United, American, Delta</t>
  </si>
  <si>
    <t>Toronto-Vancouver</t>
  </si>
  <si>
    <t>YYZ</t>
  </si>
  <si>
    <t>YVR</t>
  </si>
  <si>
    <t>Air Canada, WestJet</t>
  </si>
  <si>
    <t>Mexico City-Cancun</t>
  </si>
  <si>
    <t>MEX</t>
  </si>
  <si>
    <t>CUN</t>
  </si>
  <si>
    <t>Aeromexico, Volaris, VivaAerobus</t>
  </si>
  <si>
    <t>Sao Paulo-Rio</t>
  </si>
  <si>
    <t>GRU</t>
  </si>
  <si>
    <t>GIG</t>
  </si>
  <si>
    <t>LATAM, GOL, Azul</t>
  </si>
  <si>
    <t>Bogota-Lima</t>
  </si>
  <si>
    <t>BOG</t>
  </si>
  <si>
    <t>LIM</t>
  </si>
  <si>
    <t>Avianca, LATAM</t>
  </si>
  <si>
    <t>Tokyo-Honolulu</t>
  </si>
  <si>
    <t>NRT</t>
  </si>
  <si>
    <t>HNL</t>
  </si>
  <si>
    <t>Pacific</t>
  </si>
  <si>
    <t>Hawaiian, ANA, JAL</t>
  </si>
  <si>
    <t>Los Angeles-Sydney</t>
  </si>
  <si>
    <t>Qantas, United, American</t>
  </si>
  <si>
    <t>Hong Kong-San Francisco</t>
  </si>
  <si>
    <t>SFO</t>
  </si>
  <si>
    <t>Cathay Pacific, United</t>
  </si>
  <si>
    <t>Seoul-Los Angeles</t>
  </si>
  <si>
    <t>ICN</t>
  </si>
  <si>
    <t>Korean Air, Asiana, Delta</t>
  </si>
  <si>
    <t>Johannesburg-London</t>
  </si>
  <si>
    <t>JNB</t>
  </si>
  <si>
    <t>Africa-Europe</t>
  </si>
  <si>
    <t>British Airways, Virgin</t>
  </si>
  <si>
    <t>Cairo-Riyadh</t>
  </si>
  <si>
    <t>CAI</t>
  </si>
  <si>
    <t>RUH</t>
  </si>
  <si>
    <t>MENA</t>
  </si>
  <si>
    <t>Saudia, EgyptAir</t>
  </si>
  <si>
    <t>Lagos-London</t>
  </si>
  <si>
    <t>LOS</t>
  </si>
  <si>
    <t>Mumbai-London</t>
  </si>
  <si>
    <t>Asia-Europe</t>
  </si>
  <si>
    <t>British Airways, Air India, Virgin</t>
  </si>
  <si>
    <t>Frankfurt-Singapore</t>
  </si>
  <si>
    <t>Europe-Asia</t>
  </si>
  <si>
    <t>Lufthansa, Singapore</t>
  </si>
  <si>
    <t>Amsterdam-Bangkok</t>
  </si>
  <si>
    <t>AMS</t>
  </si>
  <si>
    <t>BKK</t>
  </si>
  <si>
    <t>KLM, EVA Air</t>
  </si>
  <si>
    <t>Seoul-Tokyo</t>
  </si>
  <si>
    <t>Korean Air, ANA, JAL</t>
  </si>
  <si>
    <t>Bangkok-Singapore</t>
  </si>
  <si>
    <t>Thai, Singapore, AirAsia</t>
  </si>
  <si>
    <t>Sydney-Auckland</t>
  </si>
  <si>
    <t>AKL</t>
  </si>
  <si>
    <t>Qantas, Air NZ</t>
  </si>
  <si>
    <t>Moscow-Sochi</t>
  </si>
  <si>
    <t>SVO</t>
  </si>
  <si>
    <t>AER</t>
  </si>
  <si>
    <t>Eurasia</t>
  </si>
  <si>
    <t>Aeroflot, S7</t>
  </si>
  <si>
    <t>Istanbul-Antalya</t>
  </si>
  <si>
    <t>AYT</t>
  </si>
  <si>
    <t>Turkish, Pegasus</t>
  </si>
  <si>
    <t>Tokyo-Singapore</t>
  </si>
  <si>
    <t>Singapore, ANA, JAL</t>
  </si>
  <si>
    <t>New York-Miami</t>
  </si>
  <si>
    <t>MIA</t>
  </si>
  <si>
    <t>American, Delta, JetBlue</t>
  </si>
  <si>
    <t>incident_id</t>
  </si>
  <si>
    <t>date</t>
  </si>
  <si>
    <t>flight_number</t>
  </si>
  <si>
    <t>airline</t>
  </si>
  <si>
    <t>aircraft_type</t>
  </si>
  <si>
    <t>severity</t>
  </si>
  <si>
    <t>fatalities</t>
  </si>
  <si>
    <t>location</t>
  </si>
  <si>
    <t>description</t>
  </si>
  <si>
    <t>is_fatal</t>
  </si>
  <si>
    <t>is_geopolitical</t>
  </si>
  <si>
    <t>is_boeing</t>
  </si>
  <si>
    <t>is_airbus</t>
  </si>
  <si>
    <t>AV001</t>
  </si>
  <si>
    <t>PLF101</t>
  </si>
  <si>
    <t>Polish AF</t>
  </si>
  <si>
    <t>Tu-154</t>
  </si>
  <si>
    <t>fatal_crash</t>
  </si>
  <si>
    <t>Smolensk, Russia</t>
  </si>
  <si>
    <t>Polish presidential plane crash</t>
  </si>
  <si>
    <t>AV002</t>
  </si>
  <si>
    <t>IX812</t>
  </si>
  <si>
    <t>Air India Express</t>
  </si>
  <si>
    <t>B737-800</t>
  </si>
  <si>
    <t>Mangalore, India</t>
  </si>
  <si>
    <t>Runway overrun</t>
  </si>
  <si>
    <t>AV003</t>
  </si>
  <si>
    <t>PIA8264</t>
  </si>
  <si>
    <t>Hewa Bora Airways</t>
  </si>
  <si>
    <t>B727</t>
  </si>
  <si>
    <t>Kisangani, DRC</t>
  </si>
  <si>
    <t>Severe weather landing</t>
  </si>
  <si>
    <t>AV004</t>
  </si>
  <si>
    <t>BSC213</t>
  </si>
  <si>
    <t>Bhoja Air</t>
  </si>
  <si>
    <t>B737-200</t>
  </si>
  <si>
    <t>Islamabad, Pakistan</t>
  </si>
  <si>
    <t>Crashed near airport</t>
  </si>
  <si>
    <t>AV005</t>
  </si>
  <si>
    <t>OZ214</t>
  </si>
  <si>
    <t>Asiana Airlines</t>
  </si>
  <si>
    <t>B777-200</t>
  </si>
  <si>
    <t>San Francisco, USA</t>
  </si>
  <si>
    <t>Hard landing short of runway</t>
  </si>
  <si>
    <t>AV006</t>
  </si>
  <si>
    <t>MH370</t>
  </si>
  <si>
    <t>Malaysia Airlines</t>
  </si>
  <si>
    <t>Indian Ocean</t>
  </si>
  <si>
    <t>Disappeared, never found</t>
  </si>
  <si>
    <t>AV007</t>
  </si>
  <si>
    <t>MH17</t>
  </si>
  <si>
    <t>Eastern Ukraine</t>
  </si>
  <si>
    <t>Shot down by missile</t>
  </si>
  <si>
    <t>AV008</t>
  </si>
  <si>
    <t>GE222</t>
  </si>
  <si>
    <t>TransAsia Airways</t>
  </si>
  <si>
    <t>ATR 72</t>
  </si>
  <si>
    <t>Magong, Taiwan</t>
  </si>
  <si>
    <t>Typhoon weather</t>
  </si>
  <si>
    <t>AV009</t>
  </si>
  <si>
    <t>QZ8501</t>
  </si>
  <si>
    <t>A320</t>
  </si>
  <si>
    <t>Java Sea</t>
  </si>
  <si>
    <t>Aerodynamic stall in storm</t>
  </si>
  <si>
    <t>AV010</t>
  </si>
  <si>
    <t>4U9525</t>
  </si>
  <si>
    <t>Germanwings</t>
  </si>
  <si>
    <t>French Alps</t>
  </si>
  <si>
    <t>Co-pilot deliberate crash</t>
  </si>
  <si>
    <t>AV011</t>
  </si>
  <si>
    <t>7K9268</t>
  </si>
  <si>
    <t>Metrojet</t>
  </si>
  <si>
    <t>A321</t>
  </si>
  <si>
    <t>Sinai, Egypt</t>
  </si>
  <si>
    <t>Bomb explosion</t>
  </si>
  <si>
    <t>AV012</t>
  </si>
  <si>
    <t>FZ981</t>
  </si>
  <si>
    <t>FlyDubai</t>
  </si>
  <si>
    <t>Rostov-on-Don, Russia</t>
  </si>
  <si>
    <t>Go-around crash</t>
  </si>
  <si>
    <t>AV013</t>
  </si>
  <si>
    <t>MS804</t>
  </si>
  <si>
    <t>EgyptAir</t>
  </si>
  <si>
    <t>Mediterranean Sea</t>
  </si>
  <si>
    <t>Cockpit fire suspected</t>
  </si>
  <si>
    <t>AV014</t>
  </si>
  <si>
    <t>UA3411</t>
  </si>
  <si>
    <t>incident</t>
  </si>
  <si>
    <t>Chicago, USA</t>
  </si>
  <si>
    <t>Dr. Dao forcibly removed</t>
  </si>
  <si>
    <t>AV015</t>
  </si>
  <si>
    <t>WN1380</t>
  </si>
  <si>
    <t>Southwest</t>
  </si>
  <si>
    <t>B737-700</t>
  </si>
  <si>
    <t>incident_fatal</t>
  </si>
  <si>
    <t>Philadelphia, USA</t>
  </si>
  <si>
    <t>Engine fan blade failure</t>
  </si>
  <si>
    <t>AV016</t>
  </si>
  <si>
    <t>JT610</t>
  </si>
  <si>
    <t>Lion Air</t>
  </si>
  <si>
    <t>B737 MAX 8</t>
  </si>
  <si>
    <t>MCAS malfunction, first 737 MAX crash</t>
  </si>
  <si>
    <t>AV017</t>
  </si>
  <si>
    <t>ET302</t>
  </si>
  <si>
    <t>Ethiopian Airlines</t>
  </si>
  <si>
    <t>Bishoftu, Ethiopia</t>
  </si>
  <si>
    <t>MCAS malfunction, 2nd 737 MAX crash → grounding</t>
  </si>
  <si>
    <t>AV018</t>
  </si>
  <si>
    <t>SU1492</t>
  </si>
  <si>
    <t>SSJ100</t>
  </si>
  <si>
    <t>Moscow, Russia</t>
  </si>
  <si>
    <t>Hard landing, fuel fire</t>
  </si>
  <si>
    <t>AV019</t>
  </si>
  <si>
    <t>U6178</t>
  </si>
  <si>
    <t>Ural Airlines</t>
  </si>
  <si>
    <t>Successful cornfield landing (Russian Hudson)</t>
  </si>
  <si>
    <t>AV020</t>
  </si>
  <si>
    <t>PS752</t>
  </si>
  <si>
    <t>Ukraine Intl</t>
  </si>
  <si>
    <t>Tehran, Iran</t>
  </si>
  <si>
    <t>Shot down by IRGC</t>
  </si>
  <si>
    <t>AV021</t>
  </si>
  <si>
    <t>PK8303</t>
  </si>
  <si>
    <t>Pakistan Intl</t>
  </si>
  <si>
    <t>Karachi, Pakistan</t>
  </si>
  <si>
    <t>Landing gear failure</t>
  </si>
  <si>
    <t>AV022</t>
  </si>
  <si>
    <t>IX1344</t>
  </si>
  <si>
    <t>Kozhikode, India</t>
  </si>
  <si>
    <t>Runway overrun in rain</t>
  </si>
  <si>
    <t>AV023</t>
  </si>
  <si>
    <t>SJ182</t>
  </si>
  <si>
    <t>Sriwijaya Air</t>
  </si>
  <si>
    <t>B737-500</t>
  </si>
  <si>
    <t>Crashed after takeoff</t>
  </si>
  <si>
    <t>AV024</t>
  </si>
  <si>
    <t>FR4978</t>
  </si>
  <si>
    <t>Minsk, Belarus</t>
  </si>
  <si>
    <t>Forced landing by Belarus</t>
  </si>
  <si>
    <t>AV025</t>
  </si>
  <si>
    <t>UAEM</t>
  </si>
  <si>
    <t>Houthi attacks</t>
  </si>
  <si>
    <t>various</t>
  </si>
  <si>
    <t>ground_incident</t>
  </si>
  <si>
    <t>Abu Dhabi, UAE</t>
  </si>
  <si>
    <t>Drone attacks on aviation facilities</t>
  </si>
  <si>
    <t>AV026</t>
  </si>
  <si>
    <t>MU5735</t>
  </si>
  <si>
    <t>Wuzhou, China</t>
  </si>
  <si>
    <t>Vertical dive crash</t>
  </si>
  <si>
    <t>AV027</t>
  </si>
  <si>
    <t>BSI301</t>
  </si>
  <si>
    <t>Various</t>
  </si>
  <si>
    <t>Various airports</t>
  </si>
  <si>
    <t>Worldwide passport queue crisis</t>
  </si>
  <si>
    <t>AV028</t>
  </si>
  <si>
    <t>Aeroflot Various</t>
  </si>
  <si>
    <t>sanctions_impact</t>
  </si>
  <si>
    <t>Russia</t>
  </si>
  <si>
    <t>Sanctions cut Aeroflot from MRO services</t>
  </si>
  <si>
    <t>AV029</t>
  </si>
  <si>
    <t>AI171</t>
  </si>
  <si>
    <t>Air India</t>
  </si>
  <si>
    <t>B777</t>
  </si>
  <si>
    <t>near_miss</t>
  </si>
  <si>
    <t>New York-Delhi</t>
  </si>
  <si>
    <t>Pilot peed on passenger</t>
  </si>
  <si>
    <t>AV030</t>
  </si>
  <si>
    <t>FX1180</t>
  </si>
  <si>
    <t>FedEx</t>
  </si>
  <si>
    <t>B767-300F</t>
  </si>
  <si>
    <t>Chattanooga, USA</t>
  </si>
  <si>
    <t>Gear-up landing</t>
  </si>
  <si>
    <t>AV032</t>
  </si>
  <si>
    <t>JL516</t>
  </si>
  <si>
    <t>A350</t>
  </si>
  <si>
    <t>fatal_collision</t>
  </si>
  <si>
    <t>Tokyo Haneda, Japan</t>
  </si>
  <si>
    <t>Collided with Coast Guard plane</t>
  </si>
  <si>
    <t>AV031</t>
  </si>
  <si>
    <t>AS1282</t>
  </si>
  <si>
    <t>B737 MAX 9</t>
  </si>
  <si>
    <t>Portland, USA</t>
  </si>
  <si>
    <t>Door plug blowout — Boeing crisis intensifies</t>
  </si>
  <si>
    <t>AV033</t>
  </si>
  <si>
    <t>ATR2283</t>
  </si>
  <si>
    <t>Voepass</t>
  </si>
  <si>
    <t>Vinhedo, Brazil</t>
  </si>
  <si>
    <t>Flat spin crash</t>
  </si>
  <si>
    <t>AV034</t>
  </si>
  <si>
    <t>J28243</t>
  </si>
  <si>
    <t>Azerbaijan Airlines</t>
  </si>
  <si>
    <t>E190</t>
  </si>
  <si>
    <t>Aktau, Kazakhstan</t>
  </si>
  <si>
    <t>Hit by Russian air defense fire</t>
  </si>
  <si>
    <t>AV035</t>
  </si>
  <si>
    <t>7C2216</t>
  </si>
  <si>
    <t>Jeju Air</t>
  </si>
  <si>
    <t>Muan, South Korea</t>
  </si>
  <si>
    <t>Belly landing, deadliest in Korean history</t>
  </si>
  <si>
    <t>AV036</t>
  </si>
  <si>
    <t>AA5342</t>
  </si>
  <si>
    <t>American/PSA</t>
  </si>
  <si>
    <t>CRJ-700</t>
  </si>
  <si>
    <t>Washington DC, USA</t>
  </si>
  <si>
    <t>Mid-air collision with Army Black Hawk</t>
  </si>
  <si>
    <t>AV037</t>
  </si>
  <si>
    <t>DL4819</t>
  </si>
  <si>
    <t>Delta Endeavor</t>
  </si>
  <si>
    <t>CRJ-900</t>
  </si>
  <si>
    <t>Toronto, Canada</t>
  </si>
  <si>
    <t>Plane flipped on landing, all survived</t>
  </si>
  <si>
    <t>AV038</t>
  </si>
  <si>
    <t>B787-8</t>
  </si>
  <si>
    <t>Ahmedabad, India</t>
  </si>
  <si>
    <t>Crashed shortly after takeoff</t>
  </si>
  <si>
    <t>AV039</t>
  </si>
  <si>
    <t>BA38</t>
  </si>
  <si>
    <t>British Airways</t>
  </si>
  <si>
    <t>London-Heathrow</t>
  </si>
  <si>
    <t>Hydraulic failure, emergency landing</t>
  </si>
  <si>
    <t>AV040</t>
  </si>
  <si>
    <t>EK231</t>
  </si>
  <si>
    <t>A380</t>
  </si>
  <si>
    <t>Dubai-JFK</t>
  </si>
  <si>
    <t>Engine shutdown, diversion</t>
  </si>
  <si>
    <t>Row Labels</t>
  </si>
  <si>
    <t>Grand Total</t>
  </si>
  <si>
    <t>Column Labels</t>
  </si>
  <si>
    <t>Sum of revenue_usd_bn</t>
  </si>
  <si>
    <t>Financials Analysis</t>
  </si>
  <si>
    <t>Average of operating_margin_pct</t>
  </si>
  <si>
    <t>Passenger Analysis</t>
  </si>
  <si>
    <t>Fleet Analysis</t>
  </si>
  <si>
    <t>Pivot Table 1 – Revenue by Airline</t>
  </si>
  <si>
    <t>Pivot Table 2 – Revenue by Year</t>
  </si>
  <si>
    <t>Pivot Table 3 – Revenue by Region</t>
  </si>
  <si>
    <t>Pivot Table 4 – Operating Margin by Airline</t>
  </si>
  <si>
    <t>Pivot Table 5 – Net Orders by Manufacturer</t>
  </si>
  <si>
    <t>Sum of orders_net</t>
  </si>
  <si>
    <t>Sum of deliveries</t>
  </si>
  <si>
    <t>Pivot Table 6 – Deliveries by Year</t>
  </si>
  <si>
    <t>Pivot Table 7 – Backlog by Manufacturer</t>
  </si>
  <si>
    <t>Sum of backlog_end_of_year</t>
  </si>
  <si>
    <t>Pivot Table 8 – Passengers by Airline</t>
  </si>
  <si>
    <t>Sum of passengers_carried_m</t>
  </si>
  <si>
    <t>Pivot Table 9– Load Factor by Region</t>
  </si>
  <si>
    <t>Average of load_factor_pct</t>
  </si>
  <si>
    <t>Pivot Table 10 – Monthly RPK Trend</t>
  </si>
  <si>
    <t>2010</t>
  </si>
  <si>
    <t>2011</t>
  </si>
  <si>
    <t>2012</t>
  </si>
  <si>
    <t>2013</t>
  </si>
  <si>
    <t>2014</t>
  </si>
  <si>
    <t>2015</t>
  </si>
  <si>
    <t>2016</t>
  </si>
  <si>
    <t>2017</t>
  </si>
  <si>
    <t>2018</t>
  </si>
  <si>
    <t>2019</t>
  </si>
  <si>
    <t>2020</t>
  </si>
  <si>
    <t>2021</t>
  </si>
  <si>
    <t>2022</t>
  </si>
  <si>
    <t>2023</t>
  </si>
  <si>
    <t>2024</t>
  </si>
  <si>
    <t>2025</t>
  </si>
  <si>
    <t>2026</t>
  </si>
  <si>
    <t>Sum of rpk_billions</t>
  </si>
  <si>
    <t>Route Analysis</t>
  </si>
  <si>
    <t>Pivot Table 11 – Top 10 Routes by Revenue</t>
  </si>
  <si>
    <t>Sum of annual_revenue_usd_m</t>
  </si>
  <si>
    <t>Pivot Table 12 – Average Fare by Route</t>
  </si>
  <si>
    <t>Sum of avg_fare_usd</t>
  </si>
  <si>
    <t>Safety Analysis</t>
  </si>
  <si>
    <t>Pivot Table 13 – Incidents by Year</t>
  </si>
  <si>
    <t>Sum of fatalities</t>
  </si>
  <si>
    <t>Pivot Table 15 – Boeing vs Airbus Incidents</t>
  </si>
  <si>
    <t>Count of incident_id</t>
  </si>
  <si>
    <t>Other</t>
  </si>
  <si>
    <t>KPI</t>
  </si>
  <si>
    <t>Total Revenue</t>
  </si>
  <si>
    <t>Total Passengers</t>
  </si>
  <si>
    <t>Average Load Factor</t>
  </si>
  <si>
    <t>Total Aircraft Orders</t>
  </si>
  <si>
    <t>Total Deliveries</t>
  </si>
  <si>
    <t>Total Incidents</t>
  </si>
  <si>
    <t>Count of airline_name</t>
  </si>
  <si>
    <t>Pivot table- 16- Incidents by Year</t>
  </si>
  <si>
    <t>Pivot Table 16 – Business Model by Airline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</si>
</sst>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8" formatCode="&quot;$&quot;\ #,##0.00\ &quot;B&quot;"/>
  </numFmts>
  <fonts count="6" x14ac:knownFonts="1">
    <font>
      <sz val="11"/>
      <color theme="1"/>
      <name val="Aptos Narrow"/>
      <family val="2"/>
      <scheme val="minor"/>
    </font>
    <font>
      <b/>
      <sz val="11"/>
      <color rgb="FFC00000"/>
      <name val="Aptos Narrow"/>
      <family val="2"/>
      <scheme val="minor"/>
    </font>
    <font>
      <b/>
      <sz val="18"/>
      <color rgb="FFC00000"/>
      <name val="Aptos Narrow"/>
      <family val="2"/>
      <scheme val="minor"/>
    </font>
    <font>
      <b/>
      <sz val="14"/>
      <color rgb="FF0070C0"/>
      <name val="Aptos Narrow"/>
      <family val="2"/>
      <scheme val="minor"/>
    </font>
    <font>
      <b/>
      <sz val="14"/>
      <color theme="6" tint="0.39997558519241921"/>
      <name val="Aptos Narrow"/>
      <family val="2"/>
      <scheme val="minor"/>
    </font>
    <font>
      <b/>
      <sz val="14"/>
      <color theme="9" tint="-0.499984740745262"/>
      <name val="Aptos Narrow"/>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3" borderId="0" xfId="0" applyFont="1" applyFill="1"/>
    <xf numFmtId="0" fontId="2" fillId="2" borderId="0" xfId="0" applyFont="1" applyFill="1"/>
    <xf numFmtId="0" fontId="3" fillId="0" borderId="0" xfId="0" applyFont="1"/>
    <xf numFmtId="0" fontId="2" fillId="3" borderId="0" xfId="0" applyFont="1" applyFill="1"/>
    <xf numFmtId="0" fontId="0" fillId="0" borderId="0" xfId="0" applyAlignment="1">
      <alignment vertical="center" wrapText="1"/>
    </xf>
    <xf numFmtId="0" fontId="4" fillId="0" borderId="0" xfId="0" applyFont="1"/>
    <xf numFmtId="0" fontId="5" fillId="0" borderId="0" xfId="0" applyFont="1"/>
    <xf numFmtId="0" fontId="0" fillId="4" borderId="0" xfId="0" applyFill="1"/>
    <xf numFmtId="168" fontId="4" fillId="0" borderId="0" xfId="0" applyNumberFormat="1" applyFont="1"/>
  </cellXfs>
  <cellStyles count="1">
    <cellStyle name="Normal" xfId="0" builtinId="0"/>
  </cellStyles>
  <dxfs count="5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4943429721808E-2"/>
          <c:y val="0.20552669411412511"/>
          <c:w val="0.90704271604426046"/>
          <c:h val="0.60599304290021816"/>
        </c:manualLayout>
      </c:layout>
      <c:lineChart>
        <c:grouping val="standard"/>
        <c:varyColors val="0"/>
        <c:ser>
          <c:idx val="0"/>
          <c:order val="0"/>
          <c:tx>
            <c:strRef>
              <c:f>Analysis!$O$11</c:f>
              <c:strCache>
                <c:ptCount val="1"/>
                <c:pt idx="0">
                  <c:v>Total</c:v>
                </c:pt>
              </c:strCache>
            </c:strRef>
          </c:tx>
          <c:spPr>
            <a:ln w="28575" cap="rnd">
              <a:solidFill>
                <a:schemeClr val="accent1"/>
              </a:solidFill>
              <a:round/>
            </a:ln>
            <a:effectLst/>
          </c:spPr>
          <c:marker>
            <c:symbol val="none"/>
          </c:marker>
          <c:cat>
            <c:strRef>
              <c:f>Analysis!$N$12:$N$29</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Analysis!$O$12:$O$29</c:f>
              <c:numCache>
                <c:formatCode>General</c:formatCode>
                <c:ptCount val="17"/>
                <c:pt idx="0">
                  <c:v>317.66999999999996</c:v>
                </c:pt>
                <c:pt idx="1">
                  <c:v>344.32000000000005</c:v>
                </c:pt>
                <c:pt idx="2">
                  <c:v>371.91</c:v>
                </c:pt>
                <c:pt idx="3">
                  <c:v>393.88000000000011</c:v>
                </c:pt>
                <c:pt idx="4">
                  <c:v>422.24999999999994</c:v>
                </c:pt>
                <c:pt idx="5">
                  <c:v>444.5100000000001</c:v>
                </c:pt>
                <c:pt idx="6">
                  <c:v>472.26000000000005</c:v>
                </c:pt>
                <c:pt idx="7">
                  <c:v>485.25999999999988</c:v>
                </c:pt>
                <c:pt idx="8">
                  <c:v>510.34999999999991</c:v>
                </c:pt>
                <c:pt idx="9">
                  <c:v>519.17000000000007</c:v>
                </c:pt>
                <c:pt idx="10">
                  <c:v>204.48</c:v>
                </c:pt>
                <c:pt idx="11">
                  <c:v>288.55000000000007</c:v>
                </c:pt>
                <c:pt idx="12">
                  <c:v>476.07000000000011</c:v>
                </c:pt>
                <c:pt idx="13">
                  <c:v>585.13</c:v>
                </c:pt>
                <c:pt idx="14">
                  <c:v>611.96</c:v>
                </c:pt>
                <c:pt idx="15">
                  <c:v>660.67</c:v>
                </c:pt>
                <c:pt idx="16">
                  <c:v>702.81000000000029</c:v>
                </c:pt>
              </c:numCache>
            </c:numRef>
          </c:val>
          <c:smooth val="0"/>
          <c:extLst>
            <c:ext xmlns:c16="http://schemas.microsoft.com/office/drawing/2014/chart" uri="{C3380CC4-5D6E-409C-BE32-E72D297353CC}">
              <c16:uniqueId val="{00000000-4C12-4357-8C40-E34D0FDC9C82}"/>
            </c:ext>
          </c:extLst>
        </c:ser>
        <c:dLbls>
          <c:showLegendKey val="0"/>
          <c:showVal val="0"/>
          <c:showCatName val="0"/>
          <c:showSerName val="0"/>
          <c:showPercent val="0"/>
          <c:showBubbleSize val="0"/>
        </c:dLbls>
        <c:smooth val="0"/>
        <c:axId val="498073200"/>
        <c:axId val="476776688"/>
      </c:lineChart>
      <c:catAx>
        <c:axId val="49807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776688"/>
        <c:crosses val="autoZero"/>
        <c:auto val="1"/>
        <c:lblAlgn val="ctr"/>
        <c:lblOffset val="100"/>
        <c:noMultiLvlLbl val="0"/>
      </c:catAx>
      <c:valAx>
        <c:axId val="47677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7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6026176857252"/>
          <c:y val="4.4624501773342984E-2"/>
          <c:w val="0.84684973104165773"/>
          <c:h val="0.89278478364100122"/>
        </c:manualLayout>
      </c:layout>
      <c:barChart>
        <c:barDir val="bar"/>
        <c:grouping val="clustered"/>
        <c:varyColors val="0"/>
        <c:ser>
          <c:idx val="0"/>
          <c:order val="0"/>
          <c:tx>
            <c:strRef>
              <c:f>Analysis!$B$11</c:f>
              <c:strCache>
                <c:ptCount val="1"/>
                <c:pt idx="0">
                  <c:v>Total</c:v>
                </c:pt>
              </c:strCache>
            </c:strRef>
          </c:tx>
          <c:spPr>
            <a:solidFill>
              <a:schemeClr val="accent1"/>
            </a:solidFill>
            <a:ln>
              <a:noFill/>
            </a:ln>
            <a:effectLst/>
          </c:spPr>
          <c:invertIfNegative val="0"/>
          <c:cat>
            <c:strRef>
              <c:f>Analysis!$A$12:$A$42</c:f>
              <c:strCache>
                <c:ptCount val="30"/>
                <c:pt idx="0">
                  <c:v>Delta Air Lines</c:v>
                </c:pt>
                <c:pt idx="1">
                  <c:v>American Airlines</c:v>
                </c:pt>
                <c:pt idx="2">
                  <c:v>United Airlines</c:v>
                </c:pt>
                <c:pt idx="3">
                  <c:v>Lufthansa Group</c:v>
                </c:pt>
                <c:pt idx="4">
                  <c:v>Air France-KLM</c:v>
                </c:pt>
                <c:pt idx="5">
                  <c:v>IAG (British Airways)</c:v>
                </c:pt>
                <c:pt idx="6">
                  <c:v>Emirates</c:v>
                </c:pt>
                <c:pt idx="7">
                  <c:v>Southwest Airlines</c:v>
                </c:pt>
                <c:pt idx="8">
                  <c:v>China Southern</c:v>
                </c:pt>
                <c:pt idx="9">
                  <c:v>Air China</c:v>
                </c:pt>
                <c:pt idx="10">
                  <c:v>ANA Holdings</c:v>
                </c:pt>
                <c:pt idx="11">
                  <c:v>China Eastern</c:v>
                </c:pt>
                <c:pt idx="12">
                  <c:v>Qatar Airways</c:v>
                </c:pt>
                <c:pt idx="13">
                  <c:v>Turkish Airlines</c:v>
                </c:pt>
                <c:pt idx="14">
                  <c:v>Cathay Pacific</c:v>
                </c:pt>
                <c:pt idx="15">
                  <c:v>Japan Airlines</c:v>
                </c:pt>
                <c:pt idx="16">
                  <c:v>Singapore Airlines</c:v>
                </c:pt>
                <c:pt idx="17">
                  <c:v>Korean Air</c:v>
                </c:pt>
                <c:pt idx="18">
                  <c:v>LATAM Airlines</c:v>
                </c:pt>
                <c:pt idx="19">
                  <c:v>Ryanair</c:v>
                </c:pt>
                <c:pt idx="20">
                  <c:v>easyJet</c:v>
                </c:pt>
                <c:pt idx="21">
                  <c:v>Alaska Airlines</c:v>
                </c:pt>
                <c:pt idx="22">
                  <c:v>JetBlue</c:v>
                </c:pt>
                <c:pt idx="23">
                  <c:v>Aeroflot</c:v>
                </c:pt>
                <c:pt idx="24">
                  <c:v>Etihad</c:v>
                </c:pt>
                <c:pt idx="25">
                  <c:v>Saudia</c:v>
                </c:pt>
                <c:pt idx="26">
                  <c:v>IndiGo</c:v>
                </c:pt>
                <c:pt idx="27">
                  <c:v>AirAsia</c:v>
                </c:pt>
                <c:pt idx="28">
                  <c:v>Azul</c:v>
                </c:pt>
                <c:pt idx="29">
                  <c:v>Riyadh Air</c:v>
                </c:pt>
              </c:strCache>
            </c:strRef>
          </c:cat>
          <c:val>
            <c:numRef>
              <c:f>Analysis!$B$12:$B$42</c:f>
              <c:numCache>
                <c:formatCode>General</c:formatCode>
                <c:ptCount val="30"/>
                <c:pt idx="0">
                  <c:v>744.14</c:v>
                </c:pt>
                <c:pt idx="1">
                  <c:v>683.2600000000001</c:v>
                </c:pt>
                <c:pt idx="2">
                  <c:v>663.56999999999994</c:v>
                </c:pt>
                <c:pt idx="3">
                  <c:v>610.86999999999989</c:v>
                </c:pt>
                <c:pt idx="4">
                  <c:v>490.19000000000005</c:v>
                </c:pt>
                <c:pt idx="5">
                  <c:v>416.18</c:v>
                </c:pt>
                <c:pt idx="6">
                  <c:v>395.08</c:v>
                </c:pt>
                <c:pt idx="7">
                  <c:v>346.40999999999997</c:v>
                </c:pt>
                <c:pt idx="8">
                  <c:v>303.06</c:v>
                </c:pt>
                <c:pt idx="9">
                  <c:v>290.53999999999996</c:v>
                </c:pt>
                <c:pt idx="10">
                  <c:v>264.13</c:v>
                </c:pt>
                <c:pt idx="11">
                  <c:v>250.51000000000002</c:v>
                </c:pt>
                <c:pt idx="12">
                  <c:v>230.97</c:v>
                </c:pt>
                <c:pt idx="13">
                  <c:v>229.8</c:v>
                </c:pt>
                <c:pt idx="14">
                  <c:v>200.22</c:v>
                </c:pt>
                <c:pt idx="15">
                  <c:v>197.00999999999996</c:v>
                </c:pt>
                <c:pt idx="16">
                  <c:v>194.47</c:v>
                </c:pt>
                <c:pt idx="17">
                  <c:v>182.42999999999998</c:v>
                </c:pt>
                <c:pt idx="18">
                  <c:v>156.10999999999999</c:v>
                </c:pt>
                <c:pt idx="19">
                  <c:v>129.72999999999999</c:v>
                </c:pt>
                <c:pt idx="20">
                  <c:v>127.75999999999999</c:v>
                </c:pt>
                <c:pt idx="21">
                  <c:v>123.01</c:v>
                </c:pt>
                <c:pt idx="22">
                  <c:v>117.94</c:v>
                </c:pt>
                <c:pt idx="23">
                  <c:v>106.67999999999999</c:v>
                </c:pt>
                <c:pt idx="24">
                  <c:v>103.30999999999999</c:v>
                </c:pt>
                <c:pt idx="25">
                  <c:v>100.12999999999998</c:v>
                </c:pt>
                <c:pt idx="26">
                  <c:v>68.47999999999999</c:v>
                </c:pt>
                <c:pt idx="27">
                  <c:v>40.909999999999997</c:v>
                </c:pt>
                <c:pt idx="28">
                  <c:v>39.220000000000006</c:v>
                </c:pt>
                <c:pt idx="29">
                  <c:v>5.13</c:v>
                </c:pt>
              </c:numCache>
            </c:numRef>
          </c:val>
          <c:extLst>
            <c:ext xmlns:c16="http://schemas.microsoft.com/office/drawing/2014/chart" uri="{C3380CC4-5D6E-409C-BE32-E72D297353CC}">
              <c16:uniqueId val="{00000000-50E4-43B3-BAB9-FC2ECCF99092}"/>
            </c:ext>
          </c:extLst>
        </c:ser>
        <c:dLbls>
          <c:showLegendKey val="0"/>
          <c:showVal val="0"/>
          <c:showCatName val="0"/>
          <c:showSerName val="0"/>
          <c:showPercent val="0"/>
          <c:showBubbleSize val="0"/>
        </c:dLbls>
        <c:gapWidth val="182"/>
        <c:axId val="544633272"/>
        <c:axId val="544632568"/>
      </c:barChart>
      <c:catAx>
        <c:axId val="544633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32568"/>
        <c:crosses val="autoZero"/>
        <c:auto val="1"/>
        <c:lblAlgn val="ctr"/>
        <c:lblOffset val="100"/>
        <c:noMultiLvlLbl val="0"/>
      </c:catAx>
      <c:valAx>
        <c:axId val="544632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33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80927384076984E-2"/>
          <c:y val="0.14249781277340332"/>
          <c:w val="0.74830796150481194"/>
          <c:h val="0.71500437445319331"/>
        </c:manualLayout>
      </c:layout>
      <c:barChart>
        <c:barDir val="col"/>
        <c:grouping val="stacked"/>
        <c:varyColors val="0"/>
        <c:ser>
          <c:idx val="0"/>
          <c:order val="0"/>
          <c:tx>
            <c:strRef>
              <c:f>Analysis!$B$52:$B$53</c:f>
              <c:strCache>
                <c:ptCount val="1"/>
                <c:pt idx="0">
                  <c:v>2010</c:v>
                </c:pt>
              </c:strCache>
            </c:strRef>
          </c:tx>
          <c:spPr>
            <a:solidFill>
              <a:schemeClr val="accent1"/>
            </a:solidFill>
            <a:ln>
              <a:noFill/>
            </a:ln>
            <a:effectLst/>
          </c:spPr>
          <c:invertIfNegative val="0"/>
          <c:cat>
            <c:strRef>
              <c:f>Analysis!$A$54:$A$58</c:f>
              <c:strCache>
                <c:ptCount val="4"/>
                <c:pt idx="0">
                  <c:v>Airbus</c:v>
                </c:pt>
                <c:pt idx="1">
                  <c:v>Boeing</c:v>
                </c:pt>
                <c:pt idx="2">
                  <c:v>COMAC</c:v>
                </c:pt>
                <c:pt idx="3">
                  <c:v>Embraer</c:v>
                </c:pt>
              </c:strCache>
            </c:strRef>
          </c:cat>
          <c:val>
            <c:numRef>
              <c:f>Analysis!$B$54:$B$58</c:f>
              <c:numCache>
                <c:formatCode>General</c:formatCode>
                <c:ptCount val="4"/>
                <c:pt idx="0">
                  <c:v>574</c:v>
                </c:pt>
                <c:pt idx="1">
                  <c:v>530</c:v>
                </c:pt>
              </c:numCache>
            </c:numRef>
          </c:val>
          <c:extLst>
            <c:ext xmlns:c16="http://schemas.microsoft.com/office/drawing/2014/chart" uri="{C3380CC4-5D6E-409C-BE32-E72D297353CC}">
              <c16:uniqueId val="{00000000-7CC1-4515-B3D0-5EB6A1A7FBFE}"/>
            </c:ext>
          </c:extLst>
        </c:ser>
        <c:ser>
          <c:idx val="1"/>
          <c:order val="1"/>
          <c:tx>
            <c:strRef>
              <c:f>Analysis!$C$52:$C$53</c:f>
              <c:strCache>
                <c:ptCount val="1"/>
                <c:pt idx="0">
                  <c:v>2011</c:v>
                </c:pt>
              </c:strCache>
            </c:strRef>
          </c:tx>
          <c:spPr>
            <a:solidFill>
              <a:schemeClr val="accent2"/>
            </a:solidFill>
            <a:ln>
              <a:noFill/>
            </a:ln>
            <a:effectLst/>
          </c:spPr>
          <c:invertIfNegative val="0"/>
          <c:cat>
            <c:strRef>
              <c:f>Analysis!$A$54:$A$58</c:f>
              <c:strCache>
                <c:ptCount val="4"/>
                <c:pt idx="0">
                  <c:v>Airbus</c:v>
                </c:pt>
                <c:pt idx="1">
                  <c:v>Boeing</c:v>
                </c:pt>
                <c:pt idx="2">
                  <c:v>COMAC</c:v>
                </c:pt>
                <c:pt idx="3">
                  <c:v>Embraer</c:v>
                </c:pt>
              </c:strCache>
            </c:strRef>
          </c:cat>
          <c:val>
            <c:numRef>
              <c:f>Analysis!$C$54:$C$58</c:f>
              <c:numCache>
                <c:formatCode>General</c:formatCode>
                <c:ptCount val="4"/>
                <c:pt idx="0">
                  <c:v>922</c:v>
                </c:pt>
                <c:pt idx="1">
                  <c:v>863</c:v>
                </c:pt>
              </c:numCache>
            </c:numRef>
          </c:val>
          <c:extLst>
            <c:ext xmlns:c16="http://schemas.microsoft.com/office/drawing/2014/chart" uri="{C3380CC4-5D6E-409C-BE32-E72D297353CC}">
              <c16:uniqueId val="{00000001-7CC1-4515-B3D0-5EB6A1A7FBFE}"/>
            </c:ext>
          </c:extLst>
        </c:ser>
        <c:ser>
          <c:idx val="2"/>
          <c:order val="2"/>
          <c:tx>
            <c:strRef>
              <c:f>Analysis!$D$52:$D$53</c:f>
              <c:strCache>
                <c:ptCount val="1"/>
                <c:pt idx="0">
                  <c:v>2012</c:v>
                </c:pt>
              </c:strCache>
            </c:strRef>
          </c:tx>
          <c:spPr>
            <a:solidFill>
              <a:schemeClr val="accent3"/>
            </a:solidFill>
            <a:ln>
              <a:noFill/>
            </a:ln>
            <a:effectLst/>
          </c:spPr>
          <c:invertIfNegative val="0"/>
          <c:cat>
            <c:strRef>
              <c:f>Analysis!$A$54:$A$58</c:f>
              <c:strCache>
                <c:ptCount val="4"/>
                <c:pt idx="0">
                  <c:v>Airbus</c:v>
                </c:pt>
                <c:pt idx="1">
                  <c:v>Boeing</c:v>
                </c:pt>
                <c:pt idx="2">
                  <c:v>COMAC</c:v>
                </c:pt>
                <c:pt idx="3">
                  <c:v>Embraer</c:v>
                </c:pt>
              </c:strCache>
            </c:strRef>
          </c:cat>
          <c:val>
            <c:numRef>
              <c:f>Analysis!$D$54:$D$58</c:f>
              <c:numCache>
                <c:formatCode>General</c:formatCode>
                <c:ptCount val="4"/>
                <c:pt idx="0">
                  <c:v>1270</c:v>
                </c:pt>
                <c:pt idx="1">
                  <c:v>1197</c:v>
                </c:pt>
              </c:numCache>
            </c:numRef>
          </c:val>
          <c:extLst>
            <c:ext xmlns:c16="http://schemas.microsoft.com/office/drawing/2014/chart" uri="{C3380CC4-5D6E-409C-BE32-E72D297353CC}">
              <c16:uniqueId val="{00000002-7CC1-4515-B3D0-5EB6A1A7FBFE}"/>
            </c:ext>
          </c:extLst>
        </c:ser>
        <c:ser>
          <c:idx val="3"/>
          <c:order val="3"/>
          <c:tx>
            <c:strRef>
              <c:f>Analysis!$E$52:$E$53</c:f>
              <c:strCache>
                <c:ptCount val="1"/>
                <c:pt idx="0">
                  <c:v>2013</c:v>
                </c:pt>
              </c:strCache>
            </c:strRef>
          </c:tx>
          <c:spPr>
            <a:solidFill>
              <a:schemeClr val="accent4"/>
            </a:solidFill>
            <a:ln>
              <a:noFill/>
            </a:ln>
            <a:effectLst/>
          </c:spPr>
          <c:invertIfNegative val="0"/>
          <c:cat>
            <c:strRef>
              <c:f>Analysis!$A$54:$A$58</c:f>
              <c:strCache>
                <c:ptCount val="4"/>
                <c:pt idx="0">
                  <c:v>Airbus</c:v>
                </c:pt>
                <c:pt idx="1">
                  <c:v>Boeing</c:v>
                </c:pt>
                <c:pt idx="2">
                  <c:v>COMAC</c:v>
                </c:pt>
                <c:pt idx="3">
                  <c:v>Embraer</c:v>
                </c:pt>
              </c:strCache>
            </c:strRef>
          </c:cat>
          <c:val>
            <c:numRef>
              <c:f>Analysis!$E$54:$E$58</c:f>
              <c:numCache>
                <c:formatCode>General</c:formatCode>
                <c:ptCount val="4"/>
                <c:pt idx="0">
                  <c:v>1619</c:v>
                </c:pt>
                <c:pt idx="1">
                  <c:v>1531</c:v>
                </c:pt>
              </c:numCache>
            </c:numRef>
          </c:val>
          <c:extLst>
            <c:ext xmlns:c16="http://schemas.microsoft.com/office/drawing/2014/chart" uri="{C3380CC4-5D6E-409C-BE32-E72D297353CC}">
              <c16:uniqueId val="{00000003-7CC1-4515-B3D0-5EB6A1A7FBFE}"/>
            </c:ext>
          </c:extLst>
        </c:ser>
        <c:ser>
          <c:idx val="4"/>
          <c:order val="4"/>
          <c:tx>
            <c:strRef>
              <c:f>Analysis!$F$52:$F$53</c:f>
              <c:strCache>
                <c:ptCount val="1"/>
                <c:pt idx="0">
                  <c:v>2014</c:v>
                </c:pt>
              </c:strCache>
            </c:strRef>
          </c:tx>
          <c:spPr>
            <a:solidFill>
              <a:schemeClr val="accent5"/>
            </a:solidFill>
            <a:ln>
              <a:noFill/>
            </a:ln>
            <a:effectLst/>
          </c:spPr>
          <c:invertIfNegative val="0"/>
          <c:cat>
            <c:strRef>
              <c:f>Analysis!$A$54:$A$58</c:f>
              <c:strCache>
                <c:ptCount val="4"/>
                <c:pt idx="0">
                  <c:v>Airbus</c:v>
                </c:pt>
                <c:pt idx="1">
                  <c:v>Boeing</c:v>
                </c:pt>
                <c:pt idx="2">
                  <c:v>COMAC</c:v>
                </c:pt>
                <c:pt idx="3">
                  <c:v>Embraer</c:v>
                </c:pt>
              </c:strCache>
            </c:strRef>
          </c:cat>
          <c:val>
            <c:numRef>
              <c:f>Analysis!$F$54:$F$58</c:f>
              <c:numCache>
                <c:formatCode>General</c:formatCode>
                <c:ptCount val="4"/>
                <c:pt idx="0">
                  <c:v>1327</c:v>
                </c:pt>
                <c:pt idx="1">
                  <c:v>1149</c:v>
                </c:pt>
              </c:numCache>
            </c:numRef>
          </c:val>
          <c:extLst>
            <c:ext xmlns:c16="http://schemas.microsoft.com/office/drawing/2014/chart" uri="{C3380CC4-5D6E-409C-BE32-E72D297353CC}">
              <c16:uniqueId val="{00000004-7CC1-4515-B3D0-5EB6A1A7FBFE}"/>
            </c:ext>
          </c:extLst>
        </c:ser>
        <c:ser>
          <c:idx val="5"/>
          <c:order val="5"/>
          <c:tx>
            <c:strRef>
              <c:f>Analysis!$G$52:$G$53</c:f>
              <c:strCache>
                <c:ptCount val="1"/>
                <c:pt idx="0">
                  <c:v>2015</c:v>
                </c:pt>
              </c:strCache>
            </c:strRef>
          </c:tx>
          <c:spPr>
            <a:solidFill>
              <a:schemeClr val="accent6"/>
            </a:solidFill>
            <a:ln>
              <a:noFill/>
            </a:ln>
            <a:effectLst/>
          </c:spPr>
          <c:invertIfNegative val="0"/>
          <c:cat>
            <c:strRef>
              <c:f>Analysis!$A$54:$A$58</c:f>
              <c:strCache>
                <c:ptCount val="4"/>
                <c:pt idx="0">
                  <c:v>Airbus</c:v>
                </c:pt>
                <c:pt idx="1">
                  <c:v>Boeing</c:v>
                </c:pt>
                <c:pt idx="2">
                  <c:v>COMAC</c:v>
                </c:pt>
                <c:pt idx="3">
                  <c:v>Embraer</c:v>
                </c:pt>
              </c:strCache>
            </c:strRef>
          </c:cat>
          <c:val>
            <c:numRef>
              <c:f>Analysis!$G$54:$G$58</c:f>
              <c:numCache>
                <c:formatCode>General</c:formatCode>
                <c:ptCount val="4"/>
                <c:pt idx="0">
                  <c:v>1036</c:v>
                </c:pt>
                <c:pt idx="1">
                  <c:v>768</c:v>
                </c:pt>
              </c:numCache>
            </c:numRef>
          </c:val>
          <c:extLst>
            <c:ext xmlns:c16="http://schemas.microsoft.com/office/drawing/2014/chart" uri="{C3380CC4-5D6E-409C-BE32-E72D297353CC}">
              <c16:uniqueId val="{00000005-7CC1-4515-B3D0-5EB6A1A7FBFE}"/>
            </c:ext>
          </c:extLst>
        </c:ser>
        <c:ser>
          <c:idx val="6"/>
          <c:order val="6"/>
          <c:tx>
            <c:strRef>
              <c:f>Analysis!$H$52:$H$53</c:f>
              <c:strCache>
                <c:ptCount val="1"/>
                <c:pt idx="0">
                  <c:v>2016</c:v>
                </c:pt>
              </c:strCache>
            </c:strRef>
          </c:tx>
          <c:spPr>
            <a:solidFill>
              <a:schemeClr val="accent1">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Analysis!$H$54:$H$58</c:f>
              <c:numCache>
                <c:formatCode>General</c:formatCode>
                <c:ptCount val="4"/>
                <c:pt idx="0">
                  <c:v>1081</c:v>
                </c:pt>
                <c:pt idx="1">
                  <c:v>839</c:v>
                </c:pt>
              </c:numCache>
            </c:numRef>
          </c:val>
          <c:extLst>
            <c:ext xmlns:c16="http://schemas.microsoft.com/office/drawing/2014/chart" uri="{C3380CC4-5D6E-409C-BE32-E72D297353CC}">
              <c16:uniqueId val="{00000006-7CC1-4515-B3D0-5EB6A1A7FBFE}"/>
            </c:ext>
          </c:extLst>
        </c:ser>
        <c:ser>
          <c:idx val="7"/>
          <c:order val="7"/>
          <c:tx>
            <c:strRef>
              <c:f>Analysis!$I$52:$I$53</c:f>
              <c:strCache>
                <c:ptCount val="1"/>
                <c:pt idx="0">
                  <c:v>2017</c:v>
                </c:pt>
              </c:strCache>
            </c:strRef>
          </c:tx>
          <c:spPr>
            <a:solidFill>
              <a:schemeClr val="accent2">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Analysis!$I$54:$I$58</c:f>
              <c:numCache>
                <c:formatCode>General</c:formatCode>
                <c:ptCount val="4"/>
                <c:pt idx="0">
                  <c:v>1127</c:v>
                </c:pt>
                <c:pt idx="1">
                  <c:v>912</c:v>
                </c:pt>
              </c:numCache>
            </c:numRef>
          </c:val>
          <c:extLst>
            <c:ext xmlns:c16="http://schemas.microsoft.com/office/drawing/2014/chart" uri="{C3380CC4-5D6E-409C-BE32-E72D297353CC}">
              <c16:uniqueId val="{00000007-7CC1-4515-B3D0-5EB6A1A7FBFE}"/>
            </c:ext>
          </c:extLst>
        </c:ser>
        <c:ser>
          <c:idx val="8"/>
          <c:order val="8"/>
          <c:tx>
            <c:strRef>
              <c:f>Analysis!$J$52:$J$53</c:f>
              <c:strCache>
                <c:ptCount val="1"/>
                <c:pt idx="0">
                  <c:v>2018</c:v>
                </c:pt>
              </c:strCache>
            </c:strRef>
          </c:tx>
          <c:spPr>
            <a:solidFill>
              <a:schemeClr val="accent3">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Analysis!$J$54:$J$58</c:f>
              <c:numCache>
                <c:formatCode>General</c:formatCode>
                <c:ptCount val="4"/>
                <c:pt idx="0">
                  <c:v>748</c:v>
                </c:pt>
                <c:pt idx="1">
                  <c:v>893</c:v>
                </c:pt>
                <c:pt idx="2">
                  <c:v>24</c:v>
                </c:pt>
                <c:pt idx="3">
                  <c:v>89</c:v>
                </c:pt>
              </c:numCache>
            </c:numRef>
          </c:val>
          <c:extLst>
            <c:ext xmlns:c16="http://schemas.microsoft.com/office/drawing/2014/chart" uri="{C3380CC4-5D6E-409C-BE32-E72D297353CC}">
              <c16:uniqueId val="{00000008-7CC1-4515-B3D0-5EB6A1A7FBFE}"/>
            </c:ext>
          </c:extLst>
        </c:ser>
        <c:ser>
          <c:idx val="9"/>
          <c:order val="9"/>
          <c:tx>
            <c:strRef>
              <c:f>Analysis!$K$52:$K$53</c:f>
              <c:strCache>
                <c:ptCount val="1"/>
                <c:pt idx="0">
                  <c:v>2019</c:v>
                </c:pt>
              </c:strCache>
            </c:strRef>
          </c:tx>
          <c:spPr>
            <a:solidFill>
              <a:schemeClr val="accent4">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Analysis!$K$54:$K$58</c:f>
              <c:numCache>
                <c:formatCode>General</c:formatCode>
                <c:ptCount val="4"/>
                <c:pt idx="0">
                  <c:v>768</c:v>
                </c:pt>
                <c:pt idx="1">
                  <c:v>-54</c:v>
                </c:pt>
                <c:pt idx="2">
                  <c:v>27</c:v>
                </c:pt>
                <c:pt idx="3">
                  <c:v>58</c:v>
                </c:pt>
              </c:numCache>
            </c:numRef>
          </c:val>
          <c:extLst>
            <c:ext xmlns:c16="http://schemas.microsoft.com/office/drawing/2014/chart" uri="{C3380CC4-5D6E-409C-BE32-E72D297353CC}">
              <c16:uniqueId val="{0000003A-7CC1-4515-B3D0-5EB6A1A7FBFE}"/>
            </c:ext>
          </c:extLst>
        </c:ser>
        <c:ser>
          <c:idx val="10"/>
          <c:order val="10"/>
          <c:tx>
            <c:strRef>
              <c:f>Analysis!$L$52:$L$53</c:f>
              <c:strCache>
                <c:ptCount val="1"/>
                <c:pt idx="0">
                  <c:v>2020</c:v>
                </c:pt>
              </c:strCache>
            </c:strRef>
          </c:tx>
          <c:spPr>
            <a:solidFill>
              <a:schemeClr val="accent5">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Analysis!$L$54:$L$58</c:f>
              <c:numCache>
                <c:formatCode>General</c:formatCode>
                <c:ptCount val="4"/>
                <c:pt idx="0">
                  <c:v>368</c:v>
                </c:pt>
                <c:pt idx="1">
                  <c:v>-1019</c:v>
                </c:pt>
                <c:pt idx="2">
                  <c:v>30</c:v>
                </c:pt>
                <c:pt idx="3">
                  <c:v>28</c:v>
                </c:pt>
              </c:numCache>
            </c:numRef>
          </c:val>
          <c:extLst>
            <c:ext xmlns:c16="http://schemas.microsoft.com/office/drawing/2014/chart" uri="{C3380CC4-5D6E-409C-BE32-E72D297353CC}">
              <c16:uniqueId val="{0000003B-7CC1-4515-B3D0-5EB6A1A7FBFE}"/>
            </c:ext>
          </c:extLst>
        </c:ser>
        <c:ser>
          <c:idx val="11"/>
          <c:order val="11"/>
          <c:tx>
            <c:strRef>
              <c:f>Analysis!$M$52:$M$53</c:f>
              <c:strCache>
                <c:ptCount val="1"/>
                <c:pt idx="0">
                  <c:v>2021</c:v>
                </c:pt>
              </c:strCache>
            </c:strRef>
          </c:tx>
          <c:spPr>
            <a:solidFill>
              <a:schemeClr val="accent6">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Analysis!$M$54:$M$58</c:f>
              <c:numCache>
                <c:formatCode>General</c:formatCode>
                <c:ptCount val="4"/>
                <c:pt idx="0">
                  <c:v>857</c:v>
                </c:pt>
                <c:pt idx="1">
                  <c:v>835</c:v>
                </c:pt>
                <c:pt idx="2">
                  <c:v>65</c:v>
                </c:pt>
                <c:pt idx="3">
                  <c:v>37</c:v>
                </c:pt>
              </c:numCache>
            </c:numRef>
          </c:val>
          <c:extLst>
            <c:ext xmlns:c16="http://schemas.microsoft.com/office/drawing/2014/chart" uri="{C3380CC4-5D6E-409C-BE32-E72D297353CC}">
              <c16:uniqueId val="{0000003C-7CC1-4515-B3D0-5EB6A1A7FBFE}"/>
            </c:ext>
          </c:extLst>
        </c:ser>
        <c:ser>
          <c:idx val="12"/>
          <c:order val="12"/>
          <c:tx>
            <c:strRef>
              <c:f>Analysis!$N$52:$N$53</c:f>
              <c:strCache>
                <c:ptCount val="1"/>
                <c:pt idx="0">
                  <c:v>2022</c:v>
                </c:pt>
              </c:strCache>
            </c:strRef>
          </c:tx>
          <c:spPr>
            <a:solidFill>
              <a:schemeClr val="accent1">
                <a:lumMod val="80000"/>
                <a:lumOff val="2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Analysis!$N$54:$N$58</c:f>
              <c:numCache>
                <c:formatCode>General</c:formatCode>
                <c:ptCount val="4"/>
                <c:pt idx="0">
                  <c:v>1172</c:v>
                </c:pt>
                <c:pt idx="1">
                  <c:v>935</c:v>
                </c:pt>
                <c:pt idx="2">
                  <c:v>100</c:v>
                </c:pt>
                <c:pt idx="3">
                  <c:v>47</c:v>
                </c:pt>
              </c:numCache>
            </c:numRef>
          </c:val>
          <c:extLst>
            <c:ext xmlns:c16="http://schemas.microsoft.com/office/drawing/2014/chart" uri="{C3380CC4-5D6E-409C-BE32-E72D297353CC}">
              <c16:uniqueId val="{0000003D-7CC1-4515-B3D0-5EB6A1A7FBFE}"/>
            </c:ext>
          </c:extLst>
        </c:ser>
        <c:ser>
          <c:idx val="13"/>
          <c:order val="13"/>
          <c:tx>
            <c:strRef>
              <c:f>Analysis!$O$52:$O$53</c:f>
              <c:strCache>
                <c:ptCount val="1"/>
                <c:pt idx="0">
                  <c:v>2023</c:v>
                </c:pt>
              </c:strCache>
            </c:strRef>
          </c:tx>
          <c:spPr>
            <a:solidFill>
              <a:schemeClr val="accent2">
                <a:lumMod val="80000"/>
                <a:lumOff val="2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Analysis!$O$54:$O$58</c:f>
              <c:numCache>
                <c:formatCode>General</c:formatCode>
                <c:ptCount val="4"/>
                <c:pt idx="0">
                  <c:v>2080</c:v>
                </c:pt>
                <c:pt idx="1">
                  <c:v>1476</c:v>
                </c:pt>
                <c:pt idx="2">
                  <c:v>250</c:v>
                </c:pt>
                <c:pt idx="3">
                  <c:v>108</c:v>
                </c:pt>
              </c:numCache>
            </c:numRef>
          </c:val>
          <c:extLst>
            <c:ext xmlns:c16="http://schemas.microsoft.com/office/drawing/2014/chart" uri="{C3380CC4-5D6E-409C-BE32-E72D297353CC}">
              <c16:uniqueId val="{0000003E-7CC1-4515-B3D0-5EB6A1A7FBFE}"/>
            </c:ext>
          </c:extLst>
        </c:ser>
        <c:ser>
          <c:idx val="14"/>
          <c:order val="14"/>
          <c:tx>
            <c:strRef>
              <c:f>Analysis!$P$52:$P$53</c:f>
              <c:strCache>
                <c:ptCount val="1"/>
                <c:pt idx="0">
                  <c:v>2024</c:v>
                </c:pt>
              </c:strCache>
            </c:strRef>
          </c:tx>
          <c:spPr>
            <a:solidFill>
              <a:schemeClr val="accent3">
                <a:lumMod val="80000"/>
                <a:lumOff val="2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Analysis!$P$54:$P$58</c:f>
              <c:numCache>
                <c:formatCode>General</c:formatCode>
                <c:ptCount val="4"/>
                <c:pt idx="0">
                  <c:v>1768</c:v>
                </c:pt>
                <c:pt idx="1">
                  <c:v>769</c:v>
                </c:pt>
                <c:pt idx="2">
                  <c:v>220</c:v>
                </c:pt>
                <c:pt idx="3">
                  <c:v>169</c:v>
                </c:pt>
              </c:numCache>
            </c:numRef>
          </c:val>
          <c:extLst>
            <c:ext xmlns:c16="http://schemas.microsoft.com/office/drawing/2014/chart" uri="{C3380CC4-5D6E-409C-BE32-E72D297353CC}">
              <c16:uniqueId val="{0000003F-7CC1-4515-B3D0-5EB6A1A7FBFE}"/>
            </c:ext>
          </c:extLst>
        </c:ser>
        <c:ser>
          <c:idx val="15"/>
          <c:order val="15"/>
          <c:tx>
            <c:strRef>
              <c:f>Analysis!$Q$52:$Q$53</c:f>
              <c:strCache>
                <c:ptCount val="1"/>
                <c:pt idx="0">
                  <c:v>2025</c:v>
                </c:pt>
              </c:strCache>
            </c:strRef>
          </c:tx>
          <c:spPr>
            <a:solidFill>
              <a:schemeClr val="accent4">
                <a:lumMod val="80000"/>
                <a:lumOff val="2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Analysis!$Q$54:$Q$58</c:f>
              <c:numCache>
                <c:formatCode>General</c:formatCode>
                <c:ptCount val="4"/>
                <c:pt idx="0">
                  <c:v>1440</c:v>
                </c:pt>
                <c:pt idx="1">
                  <c:v>895</c:v>
                </c:pt>
                <c:pt idx="2">
                  <c:v>200</c:v>
                </c:pt>
                <c:pt idx="3">
                  <c:v>119</c:v>
                </c:pt>
              </c:numCache>
            </c:numRef>
          </c:val>
          <c:extLst>
            <c:ext xmlns:c16="http://schemas.microsoft.com/office/drawing/2014/chart" uri="{C3380CC4-5D6E-409C-BE32-E72D297353CC}">
              <c16:uniqueId val="{00000040-7CC1-4515-B3D0-5EB6A1A7FBFE}"/>
            </c:ext>
          </c:extLst>
        </c:ser>
        <c:ser>
          <c:idx val="16"/>
          <c:order val="16"/>
          <c:tx>
            <c:strRef>
              <c:f>Analysis!$R$52:$R$53</c:f>
              <c:strCache>
                <c:ptCount val="1"/>
                <c:pt idx="0">
                  <c:v>2026</c:v>
                </c:pt>
              </c:strCache>
            </c:strRef>
          </c:tx>
          <c:spPr>
            <a:solidFill>
              <a:schemeClr val="accent5">
                <a:lumMod val="80000"/>
                <a:lumOff val="2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Analysis!$R$54:$R$58</c:f>
              <c:numCache>
                <c:formatCode>General</c:formatCode>
                <c:ptCount val="4"/>
                <c:pt idx="0">
                  <c:v>540</c:v>
                </c:pt>
                <c:pt idx="1">
                  <c:v>340</c:v>
                </c:pt>
                <c:pt idx="2">
                  <c:v>90</c:v>
                </c:pt>
                <c:pt idx="3">
                  <c:v>70</c:v>
                </c:pt>
              </c:numCache>
            </c:numRef>
          </c:val>
          <c:extLst>
            <c:ext xmlns:c16="http://schemas.microsoft.com/office/drawing/2014/chart" uri="{C3380CC4-5D6E-409C-BE32-E72D297353CC}">
              <c16:uniqueId val="{00000041-7CC1-4515-B3D0-5EB6A1A7FBFE}"/>
            </c:ext>
          </c:extLst>
        </c:ser>
        <c:dLbls>
          <c:showLegendKey val="0"/>
          <c:showVal val="0"/>
          <c:showCatName val="0"/>
          <c:showSerName val="0"/>
          <c:showPercent val="0"/>
          <c:showBubbleSize val="0"/>
        </c:dLbls>
        <c:gapWidth val="150"/>
        <c:overlap val="100"/>
        <c:axId val="544628344"/>
        <c:axId val="544630456"/>
      </c:barChart>
      <c:catAx>
        <c:axId val="544628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30456"/>
        <c:crosses val="autoZero"/>
        <c:auto val="1"/>
        <c:lblAlgn val="ctr"/>
        <c:lblOffset val="100"/>
        <c:noMultiLvlLbl val="0"/>
      </c:catAx>
      <c:valAx>
        <c:axId val="544630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28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Analysis!$AB$78</c:f>
              <c:strCache>
                <c:ptCount val="1"/>
                <c:pt idx="0">
                  <c:v>Total</c:v>
                </c:pt>
              </c:strCache>
            </c:strRef>
          </c:tx>
          <c:spPr>
            <a:ln w="28575" cap="rnd">
              <a:solidFill>
                <a:schemeClr val="accent1"/>
              </a:solidFill>
              <a:round/>
            </a:ln>
            <a:effectLst/>
          </c:spPr>
          <c:marker>
            <c:symbol val="none"/>
          </c:marker>
          <c:cat>
            <c:strRef>
              <c:f>Analysis!$AA$79:$AA$96</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Analysis!$AB$79:$AB$96</c:f>
              <c:numCache>
                <c:formatCode>General</c:formatCode>
                <c:ptCount val="17"/>
                <c:pt idx="0">
                  <c:v>3176.5799999999981</c:v>
                </c:pt>
                <c:pt idx="1">
                  <c:v>3372.4299999999989</c:v>
                </c:pt>
                <c:pt idx="2">
                  <c:v>3588.3300000000017</c:v>
                </c:pt>
                <c:pt idx="3">
                  <c:v>3786.81</c:v>
                </c:pt>
                <c:pt idx="4">
                  <c:v>3990.6899999999991</c:v>
                </c:pt>
                <c:pt idx="5">
                  <c:v>4214.4000000000005</c:v>
                </c:pt>
                <c:pt idx="6">
                  <c:v>4484.2199999999993</c:v>
                </c:pt>
                <c:pt idx="7">
                  <c:v>4719.4199999999973</c:v>
                </c:pt>
                <c:pt idx="8">
                  <c:v>5027.1400000000003</c:v>
                </c:pt>
                <c:pt idx="9">
                  <c:v>3634.16</c:v>
                </c:pt>
                <c:pt idx="10">
                  <c:v>986.23999999999978</c:v>
                </c:pt>
                <c:pt idx="11">
                  <c:v>1898.64</c:v>
                </c:pt>
                <c:pt idx="12">
                  <c:v>3753.4599999999982</c:v>
                </c:pt>
                <c:pt idx="13">
                  <c:v>4606.2499999999982</c:v>
                </c:pt>
                <c:pt idx="14">
                  <c:v>5128.0600000000004</c:v>
                </c:pt>
                <c:pt idx="15">
                  <c:v>5383.9999999999991</c:v>
                </c:pt>
                <c:pt idx="16">
                  <c:v>1626.2300000000005</c:v>
                </c:pt>
              </c:numCache>
            </c:numRef>
          </c:val>
          <c:smooth val="0"/>
          <c:extLst>
            <c:ext xmlns:c16="http://schemas.microsoft.com/office/drawing/2014/chart" uri="{C3380CC4-5D6E-409C-BE32-E72D297353CC}">
              <c16:uniqueId val="{00000000-6A6D-4B53-8F62-E8A8AB27ADBE}"/>
            </c:ext>
          </c:extLst>
        </c:ser>
        <c:dLbls>
          <c:showLegendKey val="0"/>
          <c:showVal val="0"/>
          <c:showCatName val="0"/>
          <c:showSerName val="0"/>
          <c:showPercent val="0"/>
          <c:showBubbleSize val="0"/>
        </c:dLbls>
        <c:smooth val="0"/>
        <c:axId val="517991344"/>
        <c:axId val="500294160"/>
      </c:lineChart>
      <c:catAx>
        <c:axId val="51799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94160"/>
        <c:crosses val="autoZero"/>
        <c:auto val="1"/>
        <c:lblAlgn val="ctr"/>
        <c:lblOffset val="100"/>
        <c:noMultiLvlLbl val="0"/>
      </c:catAx>
      <c:valAx>
        <c:axId val="500294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99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Analysis!$AB$11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Analysis!$AA$12:$AA$17</c:f>
              <c:strCache>
                <c:ptCount val="5"/>
                <c:pt idx="0">
                  <c:v>North America</c:v>
                </c:pt>
                <c:pt idx="1">
                  <c:v>Europe</c:v>
                </c:pt>
                <c:pt idx="2">
                  <c:v>Asia</c:v>
                </c:pt>
                <c:pt idx="3">
                  <c:v>Middle East</c:v>
                </c:pt>
                <c:pt idx="4">
                  <c:v>Latin America</c:v>
                </c:pt>
              </c:strCache>
            </c:strRef>
          </c:cat>
          <c:val>
            <c:numRef>
              <c:f>Analysis!$AB$12:$AB$17</c:f>
              <c:numCache>
                <c:formatCode>General</c:formatCode>
                <c:ptCount val="5"/>
                <c:pt idx="0">
                  <c:v>2678.3300000000027</c:v>
                </c:pt>
                <c:pt idx="1">
                  <c:v>2111.2099999999996</c:v>
                </c:pt>
                <c:pt idx="2">
                  <c:v>1991.7599999999995</c:v>
                </c:pt>
                <c:pt idx="3">
                  <c:v>834.62</c:v>
                </c:pt>
                <c:pt idx="4">
                  <c:v>195.32999999999996</c:v>
                </c:pt>
              </c:numCache>
            </c:numRef>
          </c:val>
          <c:extLst>
            <c:ext xmlns:c16="http://schemas.microsoft.com/office/drawing/2014/chart" uri="{C3380CC4-5D6E-409C-BE32-E72D297353CC}">
              <c16:uniqueId val="{00000000-F841-4644-98F2-940E8745F9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Analysis!$BB$11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Analysis!$BA$12:$BA$15</c:f>
              <c:strCache>
                <c:ptCount val="3"/>
                <c:pt idx="0">
                  <c:v>legacy</c:v>
                </c:pt>
                <c:pt idx="1">
                  <c:v>low_cost</c:v>
                </c:pt>
                <c:pt idx="2">
                  <c:v>regional</c:v>
                </c:pt>
              </c:strCache>
            </c:strRef>
          </c:cat>
          <c:val>
            <c:numRef>
              <c:f>Analysis!$BB$12:$BB$15</c:f>
              <c:numCache>
                <c:formatCode>General</c:formatCode>
                <c:ptCount val="3"/>
                <c:pt idx="0">
                  <c:v>361</c:v>
                </c:pt>
                <c:pt idx="1">
                  <c:v>119</c:v>
                </c:pt>
                <c:pt idx="2">
                  <c:v>17</c:v>
                </c:pt>
              </c:numCache>
            </c:numRef>
          </c:val>
          <c:extLst>
            <c:ext xmlns:c16="http://schemas.microsoft.com/office/drawing/2014/chart" uri="{C3380CC4-5D6E-409C-BE32-E72D297353CC}">
              <c16:uniqueId val="{00000000-17EB-4172-9147-67064A58A42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Analysis!$AM$11</c:f>
              <c:strCache>
                <c:ptCount val="1"/>
                <c:pt idx="0">
                  <c:v>Total</c:v>
                </c:pt>
              </c:strCache>
            </c:strRef>
          </c:tx>
          <c:spPr>
            <a:solidFill>
              <a:schemeClr val="accent1"/>
            </a:solidFill>
            <a:ln>
              <a:noFill/>
            </a:ln>
            <a:effectLst/>
          </c:spPr>
          <c:invertIfNegative val="0"/>
          <c:cat>
            <c:strRef>
              <c:f>Analysis!$AL$12:$AL$42</c:f>
              <c:strCache>
                <c:ptCount val="30"/>
                <c:pt idx="0">
                  <c:v>IndiGo</c:v>
                </c:pt>
                <c:pt idx="1">
                  <c:v>Saudia</c:v>
                </c:pt>
                <c:pt idx="2">
                  <c:v>LATAM Airlines</c:v>
                </c:pt>
                <c:pt idx="3">
                  <c:v>Air China</c:v>
                </c:pt>
                <c:pt idx="4">
                  <c:v>United Airlines</c:v>
                </c:pt>
                <c:pt idx="5">
                  <c:v>Air France-KLM</c:v>
                </c:pt>
                <c:pt idx="6">
                  <c:v>JetBlue</c:v>
                </c:pt>
                <c:pt idx="7">
                  <c:v>AirAsia</c:v>
                </c:pt>
                <c:pt idx="8">
                  <c:v>Qatar Airways</c:v>
                </c:pt>
                <c:pt idx="9">
                  <c:v>Alaska Airlines</c:v>
                </c:pt>
                <c:pt idx="10">
                  <c:v>Southwest Airlines</c:v>
                </c:pt>
                <c:pt idx="11">
                  <c:v>American Airlines</c:v>
                </c:pt>
                <c:pt idx="12">
                  <c:v>IAG (British Airways)</c:v>
                </c:pt>
                <c:pt idx="13">
                  <c:v>ANA Holdings</c:v>
                </c:pt>
                <c:pt idx="14">
                  <c:v>Japan Airlines</c:v>
                </c:pt>
                <c:pt idx="15">
                  <c:v>Azul</c:v>
                </c:pt>
                <c:pt idx="16">
                  <c:v>Korean Air</c:v>
                </c:pt>
                <c:pt idx="17">
                  <c:v>Cathay Pacific</c:v>
                </c:pt>
                <c:pt idx="18">
                  <c:v>Lufthansa Group</c:v>
                </c:pt>
                <c:pt idx="19">
                  <c:v>China Eastern</c:v>
                </c:pt>
                <c:pt idx="20">
                  <c:v>Ryanair</c:v>
                </c:pt>
                <c:pt idx="21">
                  <c:v>China Southern</c:v>
                </c:pt>
                <c:pt idx="22">
                  <c:v>Singapore Airlines</c:v>
                </c:pt>
                <c:pt idx="23">
                  <c:v>easyJet</c:v>
                </c:pt>
                <c:pt idx="24">
                  <c:v>Turkish Airlines</c:v>
                </c:pt>
                <c:pt idx="25">
                  <c:v>Emirates</c:v>
                </c:pt>
                <c:pt idx="26">
                  <c:v>Aeroflot</c:v>
                </c:pt>
                <c:pt idx="27">
                  <c:v>Etihad</c:v>
                </c:pt>
                <c:pt idx="28">
                  <c:v>Riyadh Air</c:v>
                </c:pt>
                <c:pt idx="29">
                  <c:v>Delta Air Lines</c:v>
                </c:pt>
              </c:strCache>
            </c:strRef>
          </c:cat>
          <c:val>
            <c:numRef>
              <c:f>Analysis!$AM$12:$AM$42</c:f>
              <c:numCache>
                <c:formatCode>0.0</c:formatCode>
                <c:ptCount val="30"/>
                <c:pt idx="0">
                  <c:v>5.9000000000000012</c:v>
                </c:pt>
                <c:pt idx="1">
                  <c:v>5.9000000000000012</c:v>
                </c:pt>
                <c:pt idx="2">
                  <c:v>5.9000000000000012</c:v>
                </c:pt>
                <c:pt idx="3">
                  <c:v>5.9000000000000012</c:v>
                </c:pt>
                <c:pt idx="4">
                  <c:v>5.9000000000000012</c:v>
                </c:pt>
                <c:pt idx="5">
                  <c:v>5.9000000000000012</c:v>
                </c:pt>
                <c:pt idx="6">
                  <c:v>5.9000000000000012</c:v>
                </c:pt>
                <c:pt idx="7">
                  <c:v>5.9000000000000012</c:v>
                </c:pt>
                <c:pt idx="8">
                  <c:v>5.9000000000000012</c:v>
                </c:pt>
                <c:pt idx="9">
                  <c:v>5.9000000000000012</c:v>
                </c:pt>
                <c:pt idx="10">
                  <c:v>5.9000000000000012</c:v>
                </c:pt>
                <c:pt idx="11">
                  <c:v>5.9000000000000012</c:v>
                </c:pt>
                <c:pt idx="12">
                  <c:v>5.9000000000000012</c:v>
                </c:pt>
                <c:pt idx="13">
                  <c:v>5.9000000000000012</c:v>
                </c:pt>
                <c:pt idx="14">
                  <c:v>5.9000000000000012</c:v>
                </c:pt>
                <c:pt idx="15">
                  <c:v>5.9000000000000012</c:v>
                </c:pt>
                <c:pt idx="16">
                  <c:v>5.9000000000000012</c:v>
                </c:pt>
                <c:pt idx="17">
                  <c:v>5.9000000000000012</c:v>
                </c:pt>
                <c:pt idx="18">
                  <c:v>5.9000000000000012</c:v>
                </c:pt>
                <c:pt idx="19">
                  <c:v>5.9000000000000012</c:v>
                </c:pt>
                <c:pt idx="20">
                  <c:v>5.9000000000000012</c:v>
                </c:pt>
                <c:pt idx="21">
                  <c:v>5.9000000000000012</c:v>
                </c:pt>
                <c:pt idx="22">
                  <c:v>5.9000000000000012</c:v>
                </c:pt>
                <c:pt idx="23">
                  <c:v>5.9000000000000012</c:v>
                </c:pt>
                <c:pt idx="24">
                  <c:v>5.9000000000000012</c:v>
                </c:pt>
                <c:pt idx="25">
                  <c:v>5.9000000000000012</c:v>
                </c:pt>
                <c:pt idx="26">
                  <c:v>5.9000000000000012</c:v>
                </c:pt>
                <c:pt idx="27">
                  <c:v>5.9000000000000012</c:v>
                </c:pt>
                <c:pt idx="28">
                  <c:v>5.9</c:v>
                </c:pt>
                <c:pt idx="29">
                  <c:v>5.7941176470588251</c:v>
                </c:pt>
              </c:numCache>
            </c:numRef>
          </c:val>
          <c:extLst>
            <c:ext xmlns:c16="http://schemas.microsoft.com/office/drawing/2014/chart" uri="{C3380CC4-5D6E-409C-BE32-E72D297353CC}">
              <c16:uniqueId val="{00000000-3E4A-4984-B7CD-09C321750DF1}"/>
            </c:ext>
          </c:extLst>
        </c:ser>
        <c:dLbls>
          <c:showLegendKey val="0"/>
          <c:showVal val="0"/>
          <c:showCatName val="0"/>
          <c:showSerName val="0"/>
          <c:showPercent val="0"/>
          <c:showBubbleSize val="0"/>
        </c:dLbls>
        <c:gapWidth val="219"/>
        <c:overlap val="-27"/>
        <c:axId val="516833456"/>
        <c:axId val="516834160"/>
      </c:barChart>
      <c:catAx>
        <c:axId val="51683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834160"/>
        <c:crosses val="autoZero"/>
        <c:auto val="1"/>
        <c:lblAlgn val="ctr"/>
        <c:lblOffset val="100"/>
        <c:noMultiLvlLbl val="0"/>
      </c:catAx>
      <c:valAx>
        <c:axId val="5168341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83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Analysis!$AD$162</c:f>
              <c:strCache>
                <c:ptCount val="1"/>
                <c:pt idx="0">
                  <c:v>Total</c:v>
                </c:pt>
              </c:strCache>
            </c:strRef>
          </c:tx>
          <c:spPr>
            <a:solidFill>
              <a:schemeClr val="accent1"/>
            </a:solidFill>
            <a:ln>
              <a:noFill/>
            </a:ln>
            <a:effectLst/>
          </c:spPr>
          <c:invertIfNegative val="0"/>
          <c:cat>
            <c:strRef>
              <c:f>Analysis!$AC$163:$AC$180</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Analysis!$AD$163:$AD$180</c:f>
              <c:numCache>
                <c:formatCode>General</c:formatCode>
                <c:ptCount val="17"/>
                <c:pt idx="0">
                  <c:v>2</c:v>
                </c:pt>
                <c:pt idx="1">
                  <c:v>1</c:v>
                </c:pt>
                <c:pt idx="2">
                  <c:v>1</c:v>
                </c:pt>
                <c:pt idx="3">
                  <c:v>1</c:v>
                </c:pt>
                <c:pt idx="4">
                  <c:v>4</c:v>
                </c:pt>
                <c:pt idx="5">
                  <c:v>2</c:v>
                </c:pt>
                <c:pt idx="6">
                  <c:v>2</c:v>
                </c:pt>
                <c:pt idx="7">
                  <c:v>1</c:v>
                </c:pt>
                <c:pt idx="8">
                  <c:v>2</c:v>
                </c:pt>
                <c:pt idx="9">
                  <c:v>3</c:v>
                </c:pt>
                <c:pt idx="10">
                  <c:v>3</c:v>
                </c:pt>
                <c:pt idx="11">
                  <c:v>2</c:v>
                </c:pt>
                <c:pt idx="12">
                  <c:v>4</c:v>
                </c:pt>
                <c:pt idx="13">
                  <c:v>2</c:v>
                </c:pt>
                <c:pt idx="14">
                  <c:v>5</c:v>
                </c:pt>
                <c:pt idx="15">
                  <c:v>4</c:v>
                </c:pt>
                <c:pt idx="16">
                  <c:v>1</c:v>
                </c:pt>
              </c:numCache>
            </c:numRef>
          </c:val>
          <c:extLst>
            <c:ext xmlns:c16="http://schemas.microsoft.com/office/drawing/2014/chart" uri="{C3380CC4-5D6E-409C-BE32-E72D297353CC}">
              <c16:uniqueId val="{00000000-1CDE-4C60-B922-AA3335CF2F87}"/>
            </c:ext>
          </c:extLst>
        </c:ser>
        <c:dLbls>
          <c:showLegendKey val="0"/>
          <c:showVal val="0"/>
          <c:showCatName val="0"/>
          <c:showSerName val="0"/>
          <c:showPercent val="0"/>
          <c:showBubbleSize val="0"/>
        </c:dLbls>
        <c:gapWidth val="219"/>
        <c:overlap val="-27"/>
        <c:axId val="1296978584"/>
        <c:axId val="1296979992"/>
      </c:barChart>
      <c:catAx>
        <c:axId val="1296978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79992"/>
        <c:crosses val="autoZero"/>
        <c:auto val="1"/>
        <c:lblAlgn val="ctr"/>
        <c:lblOffset val="100"/>
        <c:noMultiLvlLbl val="0"/>
      </c:catAx>
      <c:valAx>
        <c:axId val="1296979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78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Analysis!$O$162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Analysis!$N$163:$N$166</c:f>
              <c:strCache>
                <c:ptCount val="3"/>
                <c:pt idx="0">
                  <c:v>Boeing</c:v>
                </c:pt>
                <c:pt idx="1">
                  <c:v>Other</c:v>
                </c:pt>
                <c:pt idx="2">
                  <c:v>Airbus</c:v>
                </c:pt>
              </c:strCache>
            </c:strRef>
          </c:cat>
          <c:val>
            <c:numRef>
              <c:f>Analysis!$O$163:$O$166</c:f>
              <c:numCache>
                <c:formatCode>General</c:formatCode>
                <c:ptCount val="3"/>
                <c:pt idx="0">
                  <c:v>22</c:v>
                </c:pt>
                <c:pt idx="1">
                  <c:v>10</c:v>
                </c:pt>
                <c:pt idx="2">
                  <c:v>8</c:v>
                </c:pt>
              </c:numCache>
            </c:numRef>
          </c:val>
          <c:extLst>
            <c:ext xmlns:c16="http://schemas.microsoft.com/office/drawing/2014/chart" uri="{C3380CC4-5D6E-409C-BE32-E72D297353CC}">
              <c16:uniqueId val="{00000000-5AFB-44F6-A2F3-93407F89C6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Analysis!$B$116</c:f>
              <c:strCache>
                <c:ptCount val="1"/>
                <c:pt idx="0">
                  <c:v>Total</c:v>
                </c:pt>
              </c:strCache>
            </c:strRef>
          </c:tx>
          <c:spPr>
            <a:solidFill>
              <a:schemeClr val="accent1"/>
            </a:solidFill>
            <a:ln>
              <a:noFill/>
            </a:ln>
            <a:effectLst/>
          </c:spPr>
          <c:invertIfNegative val="0"/>
          <c:cat>
            <c:strRef>
              <c:f>Analysis!$A$117:$A$127</c:f>
              <c:strCache>
                <c:ptCount val="10"/>
                <c:pt idx="0">
                  <c:v>Cairo-Riyadh</c:v>
                </c:pt>
                <c:pt idx="1">
                  <c:v>Doha-London</c:v>
                </c:pt>
                <c:pt idx="2">
                  <c:v>Dubai-London</c:v>
                </c:pt>
                <c:pt idx="3">
                  <c:v>Hong Kong-San Francisco</c:v>
                </c:pt>
                <c:pt idx="4">
                  <c:v>Tokyo-Singapore</c:v>
                </c:pt>
                <c:pt idx="5">
                  <c:v>Bangkok-Singapore</c:v>
                </c:pt>
                <c:pt idx="6">
                  <c:v>Amsterdam-Bangkok</c:v>
                </c:pt>
                <c:pt idx="7">
                  <c:v>Johannesburg-London</c:v>
                </c:pt>
                <c:pt idx="8">
                  <c:v>Hong Kong-Taipei</c:v>
                </c:pt>
                <c:pt idx="9">
                  <c:v>Beijing-Shanghai</c:v>
                </c:pt>
              </c:strCache>
            </c:strRef>
          </c:cat>
          <c:val>
            <c:numRef>
              <c:f>Analysis!$B$117:$B$127</c:f>
              <c:numCache>
                <c:formatCode>General</c:formatCode>
                <c:ptCount val="10"/>
                <c:pt idx="0">
                  <c:v>9131.7000000000007</c:v>
                </c:pt>
                <c:pt idx="1">
                  <c:v>8563.5</c:v>
                </c:pt>
                <c:pt idx="2">
                  <c:v>7962.5999999999995</c:v>
                </c:pt>
                <c:pt idx="3">
                  <c:v>7628.6</c:v>
                </c:pt>
                <c:pt idx="4">
                  <c:v>7510.5</c:v>
                </c:pt>
                <c:pt idx="5">
                  <c:v>7367.5</c:v>
                </c:pt>
                <c:pt idx="6">
                  <c:v>7202.1</c:v>
                </c:pt>
                <c:pt idx="7">
                  <c:v>7074</c:v>
                </c:pt>
                <c:pt idx="8">
                  <c:v>6976.5</c:v>
                </c:pt>
                <c:pt idx="9">
                  <c:v>6817.9000000000005</c:v>
                </c:pt>
              </c:numCache>
            </c:numRef>
          </c:val>
          <c:extLst>
            <c:ext xmlns:c16="http://schemas.microsoft.com/office/drawing/2014/chart" uri="{C3380CC4-5D6E-409C-BE32-E72D297353CC}">
              <c16:uniqueId val="{00000000-FC18-41F3-B7DE-DC0E84086E7A}"/>
            </c:ext>
          </c:extLst>
        </c:ser>
        <c:dLbls>
          <c:showLegendKey val="0"/>
          <c:showVal val="0"/>
          <c:showCatName val="0"/>
          <c:showSerName val="0"/>
          <c:showPercent val="0"/>
          <c:showBubbleSize val="0"/>
        </c:dLbls>
        <c:gapWidth val="182"/>
        <c:axId val="1316495944"/>
        <c:axId val="1316497352"/>
      </c:barChart>
      <c:catAx>
        <c:axId val="1316495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97352"/>
        <c:crosses val="autoZero"/>
        <c:auto val="1"/>
        <c:lblAlgn val="ctr"/>
        <c:lblOffset val="100"/>
        <c:noMultiLvlLbl val="0"/>
      </c:catAx>
      <c:valAx>
        <c:axId val="1316497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95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Analysis!$O$78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Analysis!$N$79:$N$85</c:f>
              <c:strCache>
                <c:ptCount val="6"/>
                <c:pt idx="0">
                  <c:v>Africa</c:v>
                </c:pt>
                <c:pt idx="1">
                  <c:v>Asia Pacific</c:v>
                </c:pt>
                <c:pt idx="2">
                  <c:v>Middle East</c:v>
                </c:pt>
                <c:pt idx="3">
                  <c:v>Latin America</c:v>
                </c:pt>
                <c:pt idx="4">
                  <c:v>Europe</c:v>
                </c:pt>
                <c:pt idx="5">
                  <c:v>North America</c:v>
                </c:pt>
              </c:strCache>
            </c:strRef>
          </c:cat>
          <c:val>
            <c:numRef>
              <c:f>Analysis!$O$79:$O$85</c:f>
              <c:numCache>
                <c:formatCode>General</c:formatCode>
                <c:ptCount val="6"/>
                <c:pt idx="0">
                  <c:v>80.776530612244912</c:v>
                </c:pt>
                <c:pt idx="1">
                  <c:v>80.699489795918353</c:v>
                </c:pt>
                <c:pt idx="2">
                  <c:v>80.676530612244889</c:v>
                </c:pt>
                <c:pt idx="3">
                  <c:v>80.668877551020387</c:v>
                </c:pt>
                <c:pt idx="4">
                  <c:v>80.446428571428555</c:v>
                </c:pt>
                <c:pt idx="5">
                  <c:v>80.318877551020407</c:v>
                </c:pt>
              </c:numCache>
            </c:numRef>
          </c:val>
          <c:extLst>
            <c:ext xmlns:c16="http://schemas.microsoft.com/office/drawing/2014/chart" uri="{C3380CC4-5D6E-409C-BE32-E72D297353CC}">
              <c16:uniqueId val="{00000000-A3C9-4EC6-8E92-593747CF78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[Global_Aviation_Analysis.xlsx]Analysis!PivotTable1</c:name>
    <c:fmtId val="3"/>
  </c:pivotSource>
  <c:chart>
    <c:title>
      <c:tx>
        <c:rich>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r>
              <a:rPr lang="en-US" sz="1600" b="1">
                <a:solidFill>
                  <a:srgbClr val="0070C0"/>
                </a:solidFill>
              </a:rPr>
              <a:t>Revenue by Airline</a:t>
            </a:r>
          </a:p>
        </c:rich>
      </c:tx>
      <c:layout>
        <c:manualLayout>
          <c:xMode val="edge"/>
          <c:yMode val="edge"/>
          <c:x val="0.33605755037555296"/>
          <c:y val="5.643739604076113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numFmt formatCode="&quot;$&quot;\ #,##0.00\ &quot;B&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5458643340507"/>
          <c:y val="7.3029189533126537E-2"/>
          <c:w val="0.57681718711823926"/>
          <c:h val="0.92463278453829634"/>
        </c:manualLayout>
      </c:layout>
      <c:barChart>
        <c:barDir val="bar"/>
        <c:grouping val="clustered"/>
        <c:varyColors val="0"/>
        <c:ser>
          <c:idx val="0"/>
          <c:order val="0"/>
          <c:tx>
            <c:strRef>
              <c:f>Analysis!$B$11</c:f>
              <c:strCache>
                <c:ptCount val="1"/>
                <c:pt idx="0">
                  <c:v>Total</c:v>
                </c:pt>
              </c:strCache>
            </c:strRef>
          </c:tx>
          <c:spPr>
            <a:solidFill>
              <a:schemeClr val="accent4">
                <a:lumMod val="75000"/>
              </a:schemeClr>
            </a:solidFill>
            <a:ln>
              <a:noFill/>
            </a:ln>
            <a:effectLst/>
          </c:spPr>
          <c:invertIfNegative val="0"/>
          <c:dLbls>
            <c:numFmt formatCode="&quot;$&quot;\ #,##0.00\ &quot;B&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Analysis!$A$12:$A$42</c:f>
              <c:strCache>
                <c:ptCount val="30"/>
                <c:pt idx="0">
                  <c:v>Delta Air Lines</c:v>
                </c:pt>
                <c:pt idx="1">
                  <c:v>American Airlines</c:v>
                </c:pt>
                <c:pt idx="2">
                  <c:v>United Airlines</c:v>
                </c:pt>
                <c:pt idx="3">
                  <c:v>Lufthansa Group</c:v>
                </c:pt>
                <c:pt idx="4">
                  <c:v>Air France-KLM</c:v>
                </c:pt>
                <c:pt idx="5">
                  <c:v>IAG (British Airways)</c:v>
                </c:pt>
                <c:pt idx="6">
                  <c:v>Emirates</c:v>
                </c:pt>
                <c:pt idx="7">
                  <c:v>Southwest Airlines</c:v>
                </c:pt>
                <c:pt idx="8">
                  <c:v>China Southern</c:v>
                </c:pt>
                <c:pt idx="9">
                  <c:v>Air China</c:v>
                </c:pt>
                <c:pt idx="10">
                  <c:v>ANA Holdings</c:v>
                </c:pt>
                <c:pt idx="11">
                  <c:v>China Eastern</c:v>
                </c:pt>
                <c:pt idx="12">
                  <c:v>Qatar Airways</c:v>
                </c:pt>
                <c:pt idx="13">
                  <c:v>Turkish Airlines</c:v>
                </c:pt>
                <c:pt idx="14">
                  <c:v>Cathay Pacific</c:v>
                </c:pt>
                <c:pt idx="15">
                  <c:v>Japan Airlines</c:v>
                </c:pt>
                <c:pt idx="16">
                  <c:v>Singapore Airlines</c:v>
                </c:pt>
                <c:pt idx="17">
                  <c:v>Korean Air</c:v>
                </c:pt>
                <c:pt idx="18">
                  <c:v>LATAM Airlines</c:v>
                </c:pt>
                <c:pt idx="19">
                  <c:v>Ryanair</c:v>
                </c:pt>
                <c:pt idx="20">
                  <c:v>easyJet</c:v>
                </c:pt>
                <c:pt idx="21">
                  <c:v>Alaska Airlines</c:v>
                </c:pt>
                <c:pt idx="22">
                  <c:v>JetBlue</c:v>
                </c:pt>
                <c:pt idx="23">
                  <c:v>Aeroflot</c:v>
                </c:pt>
                <c:pt idx="24">
                  <c:v>Etihad</c:v>
                </c:pt>
                <c:pt idx="25">
                  <c:v>Saudia</c:v>
                </c:pt>
                <c:pt idx="26">
                  <c:v>IndiGo</c:v>
                </c:pt>
                <c:pt idx="27">
                  <c:v>AirAsia</c:v>
                </c:pt>
                <c:pt idx="28">
                  <c:v>Azul</c:v>
                </c:pt>
                <c:pt idx="29">
                  <c:v>Riyadh Air</c:v>
                </c:pt>
              </c:strCache>
            </c:strRef>
          </c:cat>
          <c:val>
            <c:numRef>
              <c:f>Analysis!$B$12:$B$42</c:f>
              <c:numCache>
                <c:formatCode>General</c:formatCode>
                <c:ptCount val="30"/>
                <c:pt idx="0">
                  <c:v>744.14</c:v>
                </c:pt>
                <c:pt idx="1">
                  <c:v>683.2600000000001</c:v>
                </c:pt>
                <c:pt idx="2">
                  <c:v>663.56999999999994</c:v>
                </c:pt>
                <c:pt idx="3">
                  <c:v>610.86999999999989</c:v>
                </c:pt>
                <c:pt idx="4">
                  <c:v>490.19000000000005</c:v>
                </c:pt>
                <c:pt idx="5">
                  <c:v>416.18</c:v>
                </c:pt>
                <c:pt idx="6">
                  <c:v>395.08</c:v>
                </c:pt>
                <c:pt idx="7">
                  <c:v>346.40999999999997</c:v>
                </c:pt>
                <c:pt idx="8">
                  <c:v>303.06</c:v>
                </c:pt>
                <c:pt idx="9">
                  <c:v>290.53999999999996</c:v>
                </c:pt>
                <c:pt idx="10">
                  <c:v>264.13</c:v>
                </c:pt>
                <c:pt idx="11">
                  <c:v>250.51000000000002</c:v>
                </c:pt>
                <c:pt idx="12">
                  <c:v>230.97</c:v>
                </c:pt>
                <c:pt idx="13">
                  <c:v>229.8</c:v>
                </c:pt>
                <c:pt idx="14">
                  <c:v>200.22</c:v>
                </c:pt>
                <c:pt idx="15">
                  <c:v>197.00999999999996</c:v>
                </c:pt>
                <c:pt idx="16">
                  <c:v>194.47</c:v>
                </c:pt>
                <c:pt idx="17">
                  <c:v>182.42999999999998</c:v>
                </c:pt>
                <c:pt idx="18">
                  <c:v>156.10999999999999</c:v>
                </c:pt>
                <c:pt idx="19">
                  <c:v>129.72999999999999</c:v>
                </c:pt>
                <c:pt idx="20">
                  <c:v>127.75999999999999</c:v>
                </c:pt>
                <c:pt idx="21">
                  <c:v>123.01</c:v>
                </c:pt>
                <c:pt idx="22">
                  <c:v>117.94</c:v>
                </c:pt>
                <c:pt idx="23">
                  <c:v>106.67999999999999</c:v>
                </c:pt>
                <c:pt idx="24">
                  <c:v>103.30999999999999</c:v>
                </c:pt>
                <c:pt idx="25">
                  <c:v>100.12999999999998</c:v>
                </c:pt>
                <c:pt idx="26">
                  <c:v>68.47999999999999</c:v>
                </c:pt>
                <c:pt idx="27">
                  <c:v>40.909999999999997</c:v>
                </c:pt>
                <c:pt idx="28">
                  <c:v>39.220000000000006</c:v>
                </c:pt>
                <c:pt idx="29">
                  <c:v>5.13</c:v>
                </c:pt>
              </c:numCache>
            </c:numRef>
          </c:val>
          <c:extLst>
            <c:ext xmlns:c16="http://schemas.microsoft.com/office/drawing/2014/chart" uri="{C3380CC4-5D6E-409C-BE32-E72D297353CC}">
              <c16:uniqueId val="{00000000-450E-476E-B426-6AD34DF497FD}"/>
            </c:ext>
          </c:extLst>
        </c:ser>
        <c:dLbls>
          <c:dLblPos val="outEnd"/>
          <c:showLegendKey val="0"/>
          <c:showVal val="1"/>
          <c:showCatName val="0"/>
          <c:showSerName val="0"/>
          <c:showPercent val="0"/>
          <c:showBubbleSize val="0"/>
        </c:dLbls>
        <c:gapWidth val="182"/>
        <c:axId val="544633272"/>
        <c:axId val="544632568"/>
      </c:barChart>
      <c:catAx>
        <c:axId val="544633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4">
                    <a:lumMod val="75000"/>
                  </a:schemeClr>
                </a:solidFill>
                <a:latin typeface="+mn-lt"/>
                <a:ea typeface="+mn-ea"/>
                <a:cs typeface="+mn-cs"/>
              </a:defRPr>
            </a:pPr>
            <a:endParaRPr lang="en-US"/>
          </a:p>
        </c:txPr>
        <c:crossAx val="544632568"/>
        <c:crosses val="autoZero"/>
        <c:auto val="1"/>
        <c:lblAlgn val="ctr"/>
        <c:lblOffset val="100"/>
        <c:noMultiLvlLbl val="0"/>
      </c:catAx>
      <c:valAx>
        <c:axId val="544632568"/>
        <c:scaling>
          <c:orientation val="minMax"/>
        </c:scaling>
        <c:delete val="1"/>
        <c:axPos val="b"/>
        <c:numFmt formatCode="General" sourceLinked="1"/>
        <c:majorTickMark val="none"/>
        <c:minorTickMark val="none"/>
        <c:tickLblPos val="nextTo"/>
        <c:crossAx val="544633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[Global_Aviation_Analysis.xlsx]Analysis!PivotTable2</c:name>
    <c:fmtId val="3"/>
  </c:pivotSource>
  <c:chart>
    <c:title>
      <c:tx>
        <c:rich>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r>
              <a:rPr lang="en-IN" sz="1600" b="1">
                <a:solidFill>
                  <a:srgbClr val="0070C0"/>
                </a:solidFill>
              </a:rPr>
              <a:t>Revenue by Year</a:t>
            </a:r>
          </a:p>
        </c:rich>
      </c:tx>
      <c:layout>
        <c:manualLayout>
          <c:xMode val="edge"/>
          <c:yMode val="edge"/>
          <c:x val="0.38160859454338647"/>
          <c:y val="3.279164572513542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0.00\ &quot;B&quot;" sourceLinked="0"/>
          <c:spPr>
            <a:noFill/>
            <a:ln>
              <a:noFill/>
            </a:ln>
            <a:effectLst/>
          </c:spPr>
          <c:txPr>
            <a:bodyPr rot="0" spcFirstLastPara="1" vertOverflow="ellipsis" vert="horz" wrap="square" anchor="ctr" anchorCtr="1"/>
            <a:lstStyle/>
            <a:p>
              <a:pPr>
                <a:defRPr sz="800" b="1" i="0" u="none" strike="noStrike" kern="1200" baseline="0">
                  <a:solidFill>
                    <a:srgbClr val="0000CC"/>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13138755934879E-2"/>
          <c:y val="0.1666906131115633"/>
          <c:w val="0.97542738205523116"/>
          <c:h val="0.71965198664921981"/>
        </c:manualLayout>
      </c:layout>
      <c:lineChart>
        <c:grouping val="standard"/>
        <c:varyColors val="0"/>
        <c:ser>
          <c:idx val="0"/>
          <c:order val="0"/>
          <c:tx>
            <c:strRef>
              <c:f>Analysis!$O$11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quot;\ #,##0.00\ &quot;B&quot;" sourceLinked="0"/>
            <c:spPr>
              <a:noFill/>
              <a:ln>
                <a:noFill/>
              </a:ln>
              <a:effectLst/>
            </c:spPr>
            <c:txPr>
              <a:bodyPr rot="0" spcFirstLastPara="1" vertOverflow="ellipsis" vert="horz" wrap="square" anchor="ctr" anchorCtr="1"/>
              <a:lstStyle/>
              <a:p>
                <a:pPr>
                  <a:defRPr sz="800" b="1" i="0" u="none" strike="noStrike" kern="1200" baseline="0">
                    <a:solidFill>
                      <a:srgbClr val="0000CC"/>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Analysis!$N$12:$N$29</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Analysis!$O$12:$O$29</c:f>
              <c:numCache>
                <c:formatCode>General</c:formatCode>
                <c:ptCount val="17"/>
                <c:pt idx="0">
                  <c:v>317.66999999999996</c:v>
                </c:pt>
                <c:pt idx="1">
                  <c:v>344.32000000000005</c:v>
                </c:pt>
                <c:pt idx="2">
                  <c:v>371.91</c:v>
                </c:pt>
                <c:pt idx="3">
                  <c:v>393.88000000000011</c:v>
                </c:pt>
                <c:pt idx="4">
                  <c:v>422.24999999999994</c:v>
                </c:pt>
                <c:pt idx="5">
                  <c:v>444.5100000000001</c:v>
                </c:pt>
                <c:pt idx="6">
                  <c:v>472.26000000000005</c:v>
                </c:pt>
                <c:pt idx="7">
                  <c:v>485.25999999999988</c:v>
                </c:pt>
                <c:pt idx="8">
                  <c:v>510.34999999999991</c:v>
                </c:pt>
                <c:pt idx="9">
                  <c:v>519.17000000000007</c:v>
                </c:pt>
                <c:pt idx="10">
                  <c:v>204.48</c:v>
                </c:pt>
                <c:pt idx="11">
                  <c:v>288.55000000000007</c:v>
                </c:pt>
                <c:pt idx="12">
                  <c:v>476.07000000000011</c:v>
                </c:pt>
                <c:pt idx="13">
                  <c:v>585.13</c:v>
                </c:pt>
                <c:pt idx="14">
                  <c:v>611.96</c:v>
                </c:pt>
                <c:pt idx="15">
                  <c:v>660.67</c:v>
                </c:pt>
                <c:pt idx="16">
                  <c:v>702.81000000000029</c:v>
                </c:pt>
              </c:numCache>
            </c:numRef>
          </c:val>
          <c:smooth val="0"/>
          <c:extLst>
            <c:ext xmlns:c16="http://schemas.microsoft.com/office/drawing/2014/chart" uri="{C3380CC4-5D6E-409C-BE32-E72D297353CC}">
              <c16:uniqueId val="{00000000-60BC-46A5-8EC4-02F5ED9F91F0}"/>
            </c:ext>
          </c:extLst>
        </c:ser>
        <c:dLbls>
          <c:dLblPos val="t"/>
          <c:showLegendKey val="0"/>
          <c:showVal val="1"/>
          <c:showCatName val="0"/>
          <c:showSerName val="0"/>
          <c:showPercent val="0"/>
          <c:showBubbleSize val="0"/>
        </c:dLbls>
        <c:marker val="1"/>
        <c:smooth val="0"/>
        <c:axId val="498073200"/>
        <c:axId val="476776688"/>
      </c:lineChart>
      <c:catAx>
        <c:axId val="498073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4">
                    <a:lumMod val="50000"/>
                  </a:schemeClr>
                </a:solidFill>
                <a:latin typeface="+mn-lt"/>
                <a:ea typeface="+mn-ea"/>
                <a:cs typeface="+mn-cs"/>
              </a:defRPr>
            </a:pPr>
            <a:endParaRPr lang="en-US"/>
          </a:p>
        </c:txPr>
        <c:crossAx val="476776688"/>
        <c:crosses val="autoZero"/>
        <c:auto val="1"/>
        <c:lblAlgn val="ctr"/>
        <c:lblOffset val="100"/>
        <c:noMultiLvlLbl val="0"/>
      </c:catAx>
      <c:valAx>
        <c:axId val="476776688"/>
        <c:scaling>
          <c:orientation val="minMax"/>
        </c:scaling>
        <c:delete val="1"/>
        <c:axPos val="l"/>
        <c:numFmt formatCode="General" sourceLinked="1"/>
        <c:majorTickMark val="out"/>
        <c:minorTickMark val="none"/>
        <c:tickLblPos val="nextTo"/>
        <c:crossAx val="498073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900">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[Global_Aviation_Analysis.xlsx]Analysis!PivotTable3</c:name>
    <c:fmtId val="3"/>
  </c:pivotSource>
  <c:chart>
    <c:title>
      <c:tx>
        <c:rich>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r>
              <a:rPr lang="en-US" sz="1600" b="1">
                <a:solidFill>
                  <a:srgbClr val="0070C0"/>
                </a:solidFill>
              </a:rPr>
              <a:t>Revenue by Region</a:t>
            </a:r>
          </a:p>
        </c:rich>
      </c:tx>
      <c:layout>
        <c:manualLayout>
          <c:xMode val="edge"/>
          <c:yMode val="edge"/>
          <c:x val="0.18507617417647731"/>
          <c:y val="6.9687214152101395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w="19050">
            <a:solidFill>
              <a:schemeClr val="lt1"/>
            </a:solidFill>
          </a:ln>
          <a:effectLst/>
        </c:spPr>
      </c:pivotFmt>
      <c:pivotFmt>
        <c:idx val="9"/>
        <c:spPr>
          <a:solidFill>
            <a:schemeClr val="accent4">
              <a:lumMod val="75000"/>
            </a:schemeClr>
          </a:solidFill>
          <a:ln w="19050">
            <a:solidFill>
              <a:schemeClr val="lt1"/>
            </a:solidFill>
          </a:ln>
          <a:effectLst/>
        </c:spPr>
      </c:pivotFmt>
      <c:pivotFmt>
        <c:idx val="10"/>
        <c:spPr>
          <a:solidFill>
            <a:schemeClr val="accent4">
              <a:lumMod val="60000"/>
              <a:lumOff val="40000"/>
            </a:schemeClr>
          </a:solidFill>
          <a:ln w="19050">
            <a:solidFill>
              <a:schemeClr val="lt1"/>
            </a:solidFill>
          </a:ln>
          <a:effectLst/>
        </c:spPr>
      </c:pivotFmt>
      <c:pivotFmt>
        <c:idx val="11"/>
        <c:spPr>
          <a:solidFill>
            <a:schemeClr val="accent4">
              <a:lumMod val="40000"/>
              <a:lumOff val="60000"/>
            </a:schemeClr>
          </a:solidFill>
          <a:ln w="19050">
            <a:solidFill>
              <a:schemeClr val="lt1"/>
            </a:solidFill>
          </a:ln>
          <a:effectLst/>
        </c:spPr>
      </c:pivotFmt>
      <c:pivotFmt>
        <c:idx val="12"/>
        <c:spPr>
          <a:solidFill>
            <a:schemeClr val="accent4">
              <a:lumMod val="20000"/>
              <a:lumOff val="80000"/>
            </a:schemeClr>
          </a:solidFill>
          <a:ln w="19050">
            <a:solidFill>
              <a:schemeClr val="lt1"/>
            </a:solidFill>
          </a:ln>
          <a:effectLst/>
        </c:spPr>
      </c:pivotFmt>
    </c:pivotFmts>
    <c:plotArea>
      <c:layout>
        <c:manualLayout>
          <c:layoutTarget val="inner"/>
          <c:xMode val="edge"/>
          <c:yMode val="edge"/>
          <c:x val="1.7079415903331802E-2"/>
          <c:y val="0.10061461311749439"/>
          <c:w val="0.67179150783282726"/>
          <c:h val="0.89162398275634536"/>
        </c:manualLayout>
      </c:layout>
      <c:pieChart>
        <c:varyColors val="1"/>
        <c:ser>
          <c:idx val="0"/>
          <c:order val="0"/>
          <c:tx>
            <c:strRef>
              <c:f>Analysis!$AB$11</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F623-4B9D-9BF0-3161D83FB579}"/>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F623-4B9D-9BF0-3161D83FB579}"/>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F623-4B9D-9BF0-3161D83FB579}"/>
              </c:ext>
            </c:extLst>
          </c:dPt>
          <c:dPt>
            <c:idx val="3"/>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7-F623-4B9D-9BF0-3161D83FB579}"/>
              </c:ext>
            </c:extLst>
          </c:dPt>
          <c:dPt>
            <c:idx val="4"/>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9-F623-4B9D-9BF0-3161D83FB579}"/>
              </c:ext>
            </c:extLst>
          </c:dPt>
          <c:cat>
            <c:strRef>
              <c:f>Analysis!$AA$12:$AA$17</c:f>
              <c:strCache>
                <c:ptCount val="5"/>
                <c:pt idx="0">
                  <c:v>North America</c:v>
                </c:pt>
                <c:pt idx="1">
                  <c:v>Europe</c:v>
                </c:pt>
                <c:pt idx="2">
                  <c:v>Asia</c:v>
                </c:pt>
                <c:pt idx="3">
                  <c:v>Middle East</c:v>
                </c:pt>
                <c:pt idx="4">
                  <c:v>Latin America</c:v>
                </c:pt>
              </c:strCache>
            </c:strRef>
          </c:cat>
          <c:val>
            <c:numRef>
              <c:f>Analysis!$AB$12:$AB$17</c:f>
              <c:numCache>
                <c:formatCode>General</c:formatCode>
                <c:ptCount val="5"/>
                <c:pt idx="0">
                  <c:v>2678.3300000000027</c:v>
                </c:pt>
                <c:pt idx="1">
                  <c:v>2111.2099999999996</c:v>
                </c:pt>
                <c:pt idx="2">
                  <c:v>1991.7599999999995</c:v>
                </c:pt>
                <c:pt idx="3">
                  <c:v>834.62</c:v>
                </c:pt>
                <c:pt idx="4">
                  <c:v>195.32999999999996</c:v>
                </c:pt>
              </c:numCache>
            </c:numRef>
          </c:val>
          <c:extLst>
            <c:ext xmlns:c16="http://schemas.microsoft.com/office/drawing/2014/chart" uri="{C3380CC4-5D6E-409C-BE32-E72D297353CC}">
              <c16:uniqueId val="{0000000A-F623-4B9D-9BF0-3161D83FB57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206324098685042"/>
          <c:y val="0.29691197846390721"/>
          <c:w val="0.34286898855681464"/>
          <c:h val="0.5879899847950180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accent4">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[Global_Aviation_Analysis.xlsx]Analysis!PivotTable23</c:name>
    <c:fmtId val="5"/>
  </c:pivotSource>
  <c:chart>
    <c:title>
      <c:tx>
        <c:rich>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r>
              <a:rPr lang="en-US" sz="1600" b="1">
                <a:solidFill>
                  <a:srgbClr val="0070C0"/>
                </a:solidFill>
              </a:rPr>
              <a:t> Business Model by Airline</a:t>
            </a:r>
          </a:p>
        </c:rich>
      </c:tx>
      <c:layout>
        <c:manualLayout>
          <c:xMode val="edge"/>
          <c:yMode val="edge"/>
          <c:x val="9.955854619436709E-2"/>
          <c:y val="2.698267851013421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4">
              <a:lumMod val="50000"/>
            </a:schemeClr>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4">
              <a:lumMod val="60000"/>
              <a:lumOff val="40000"/>
            </a:schemeClr>
          </a:solidFill>
          <a:ln w="19050">
            <a:solidFill>
              <a:schemeClr val="lt1"/>
            </a:solidFill>
          </a:ln>
          <a:effectLst/>
        </c:spPr>
        <c:dLbl>
          <c:idx val="0"/>
          <c:layout>
            <c:manualLayout>
              <c:x val="-4.9028975352323374E-3"/>
              <c:y val="0.19745756934635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2.9198854688618471E-2"/>
          <c:y val="0.10244781833210075"/>
          <c:w val="0.71945425912670002"/>
          <c:h val="0.87447479009875151"/>
        </c:manualLayout>
      </c:layout>
      <c:doughnutChart>
        <c:varyColors val="1"/>
        <c:ser>
          <c:idx val="0"/>
          <c:order val="0"/>
          <c:tx>
            <c:strRef>
              <c:f>Analysis!$BB$11</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D94F-4AD6-9229-FE4D96A4F222}"/>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D94F-4AD6-9229-FE4D96A4F222}"/>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D94F-4AD6-9229-FE4D96A4F222}"/>
              </c:ext>
            </c:extLst>
          </c:dPt>
          <c:dLbls>
            <c:dLbl>
              <c:idx val="2"/>
              <c:layout>
                <c:manualLayout>
                  <c:x val="-4.9028975352323374E-3"/>
                  <c:y val="0.1974575693463568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94F-4AD6-9229-FE4D96A4F2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Analysis!$BA$12:$BA$15</c:f>
              <c:strCache>
                <c:ptCount val="3"/>
                <c:pt idx="0">
                  <c:v>legacy</c:v>
                </c:pt>
                <c:pt idx="1">
                  <c:v>low_cost</c:v>
                </c:pt>
                <c:pt idx="2">
                  <c:v>regional</c:v>
                </c:pt>
              </c:strCache>
            </c:strRef>
          </c:cat>
          <c:val>
            <c:numRef>
              <c:f>Analysis!$BB$12:$BB$15</c:f>
              <c:numCache>
                <c:formatCode>General</c:formatCode>
                <c:ptCount val="3"/>
                <c:pt idx="0">
                  <c:v>361</c:v>
                </c:pt>
                <c:pt idx="1">
                  <c:v>119</c:v>
                </c:pt>
                <c:pt idx="2">
                  <c:v>17</c:v>
                </c:pt>
              </c:numCache>
            </c:numRef>
          </c:val>
          <c:extLst>
            <c:ext xmlns:c16="http://schemas.microsoft.com/office/drawing/2014/chart" uri="{C3380CC4-5D6E-409C-BE32-E72D297353CC}">
              <c16:uniqueId val="{00000006-D94F-4AD6-9229-FE4D96A4F22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104630535786321"/>
          <c:y val="0.40683255813397218"/>
          <c:w val="0.2195363094307427"/>
          <c:h val="0.3844753620553766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accent4">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[Global_Aviation_Analysis.xlsx]Analysis!PivotTable16</c:name>
    <c:fmtId val="4"/>
  </c:pivotSource>
  <c:chart>
    <c:title>
      <c:tx>
        <c:rich>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r>
              <a:rPr lang="en-US" sz="1600" b="1">
                <a:solidFill>
                  <a:srgbClr val="0070C0"/>
                </a:solidFill>
              </a:rPr>
              <a:t>Boeing vs Airbus Incidents</a:t>
            </a:r>
          </a:p>
        </c:rich>
      </c:tx>
      <c:layout>
        <c:manualLayout>
          <c:xMode val="edge"/>
          <c:yMode val="edge"/>
          <c:x val="0.1013666294675462"/>
          <c:y val="6.7913603201671851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4">
              <a:lumMod val="60000"/>
              <a:lumOff val="40000"/>
            </a:schemeClr>
          </a:solidFill>
          <a:ln w="19050">
            <a:solidFill>
              <a:schemeClr val="lt1"/>
            </a:solidFill>
          </a:ln>
          <a:effectLst/>
        </c:spPr>
      </c:pivotFmt>
    </c:pivotFmts>
    <c:plotArea>
      <c:layout>
        <c:manualLayout>
          <c:layoutTarget val="inner"/>
          <c:xMode val="edge"/>
          <c:yMode val="edge"/>
          <c:x val="2.218627510718188E-2"/>
          <c:y val="0.12573382703807698"/>
          <c:w val="0.61695851504591559"/>
          <c:h val="0.86663153057230868"/>
        </c:manualLayout>
      </c:layout>
      <c:pieChart>
        <c:varyColors val="1"/>
        <c:ser>
          <c:idx val="0"/>
          <c:order val="0"/>
          <c:tx>
            <c:strRef>
              <c:f>Analysis!$O$162</c:f>
              <c:strCache>
                <c:ptCount val="1"/>
                <c:pt idx="0">
                  <c:v>Total</c:v>
                </c:pt>
              </c:strCache>
            </c:strRef>
          </c:tx>
          <c:spPr>
            <a:solidFill>
              <a:schemeClr val="accent4">
                <a:lumMod val="50000"/>
              </a:schemeClr>
            </a:solidFill>
          </c:spPr>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5A15-4020-BEF0-0B32EE8757BE}"/>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5A15-4020-BEF0-0B32EE8757BE}"/>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5A15-4020-BEF0-0B32EE8757BE}"/>
              </c:ext>
            </c:extLst>
          </c:dPt>
          <c:cat>
            <c:strRef>
              <c:f>Analysis!$N$163:$N$166</c:f>
              <c:strCache>
                <c:ptCount val="3"/>
                <c:pt idx="0">
                  <c:v>Boeing</c:v>
                </c:pt>
                <c:pt idx="1">
                  <c:v>Other</c:v>
                </c:pt>
                <c:pt idx="2">
                  <c:v>Airbus</c:v>
                </c:pt>
              </c:strCache>
            </c:strRef>
          </c:cat>
          <c:val>
            <c:numRef>
              <c:f>Analysis!$O$163:$O$166</c:f>
              <c:numCache>
                <c:formatCode>General</c:formatCode>
                <c:ptCount val="3"/>
                <c:pt idx="0">
                  <c:v>22</c:v>
                </c:pt>
                <c:pt idx="1">
                  <c:v>10</c:v>
                </c:pt>
                <c:pt idx="2">
                  <c:v>8</c:v>
                </c:pt>
              </c:numCache>
            </c:numRef>
          </c:val>
          <c:extLst>
            <c:ext xmlns:c16="http://schemas.microsoft.com/office/drawing/2014/chart" uri="{C3380CC4-5D6E-409C-BE32-E72D297353CC}">
              <c16:uniqueId val="{00000006-5A15-4020-BEF0-0B32EE8757B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521475188576174"/>
          <c:y val="0.65438339528444289"/>
          <c:w val="0.18005075440205823"/>
          <c:h val="0.3438150225959787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accent4">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[Global_Aviation_Analysis.xlsx]Analysis!PivotTable5</c:name>
    <c:fmtId val="3"/>
  </c:pivotSource>
  <c:chart>
    <c:title>
      <c:tx>
        <c:rich>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r>
              <a:rPr lang="en-IN" sz="1600" b="1">
                <a:solidFill>
                  <a:srgbClr val="0070C0"/>
                </a:solidFill>
              </a:rPr>
              <a:t>Net Orders by Manufacturer</a:t>
            </a:r>
          </a:p>
        </c:rich>
      </c:tx>
      <c:layout>
        <c:manualLayout>
          <c:xMode val="edge"/>
          <c:yMode val="edge"/>
          <c:x val="0.29820778022702882"/>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8988463366822"/>
          <c:y val="0.14336625721216573"/>
          <c:w val="0.80395380554929308"/>
          <c:h val="0.81671397243624322"/>
        </c:manualLayout>
      </c:layout>
      <c:barChart>
        <c:barDir val="col"/>
        <c:grouping val="stacked"/>
        <c:varyColors val="0"/>
        <c:ser>
          <c:idx val="0"/>
          <c:order val="0"/>
          <c:tx>
            <c:strRef>
              <c:f>Analysis!$B$52:$B$53</c:f>
              <c:strCache>
                <c:ptCount val="1"/>
                <c:pt idx="0">
                  <c:v>2010</c:v>
                </c:pt>
              </c:strCache>
            </c:strRef>
          </c:tx>
          <c:spPr>
            <a:solidFill>
              <a:schemeClr val="accent1"/>
            </a:solidFill>
            <a:ln>
              <a:noFill/>
            </a:ln>
            <a:effectLst/>
          </c:spPr>
          <c:invertIfNegative val="0"/>
          <c:cat>
            <c:strRef>
              <c:f>Analysis!$A$54:$A$58</c:f>
              <c:strCache>
                <c:ptCount val="4"/>
                <c:pt idx="0">
                  <c:v>Airbus</c:v>
                </c:pt>
                <c:pt idx="1">
                  <c:v>Boeing</c:v>
                </c:pt>
                <c:pt idx="2">
                  <c:v>COMAC</c:v>
                </c:pt>
                <c:pt idx="3">
                  <c:v>Embraer</c:v>
                </c:pt>
              </c:strCache>
            </c:strRef>
          </c:cat>
          <c:val>
            <c:numRef>
              <c:f>Analysis!$B$54:$B$58</c:f>
              <c:numCache>
                <c:formatCode>General</c:formatCode>
                <c:ptCount val="4"/>
                <c:pt idx="0">
                  <c:v>574</c:v>
                </c:pt>
                <c:pt idx="1">
                  <c:v>530</c:v>
                </c:pt>
              </c:numCache>
            </c:numRef>
          </c:val>
          <c:extLst>
            <c:ext xmlns:c16="http://schemas.microsoft.com/office/drawing/2014/chart" uri="{C3380CC4-5D6E-409C-BE32-E72D297353CC}">
              <c16:uniqueId val="{00000000-0723-4DE7-98AC-EAD1EAD3D80E}"/>
            </c:ext>
          </c:extLst>
        </c:ser>
        <c:ser>
          <c:idx val="1"/>
          <c:order val="1"/>
          <c:tx>
            <c:strRef>
              <c:f>Analysis!$C$52:$C$53</c:f>
              <c:strCache>
                <c:ptCount val="1"/>
                <c:pt idx="0">
                  <c:v>2011</c:v>
                </c:pt>
              </c:strCache>
            </c:strRef>
          </c:tx>
          <c:spPr>
            <a:solidFill>
              <a:schemeClr val="accent2"/>
            </a:solidFill>
            <a:ln>
              <a:noFill/>
            </a:ln>
            <a:effectLst/>
          </c:spPr>
          <c:invertIfNegative val="0"/>
          <c:cat>
            <c:strRef>
              <c:f>Analysis!$A$54:$A$58</c:f>
              <c:strCache>
                <c:ptCount val="4"/>
                <c:pt idx="0">
                  <c:v>Airbus</c:v>
                </c:pt>
                <c:pt idx="1">
                  <c:v>Boeing</c:v>
                </c:pt>
                <c:pt idx="2">
                  <c:v>COMAC</c:v>
                </c:pt>
                <c:pt idx="3">
                  <c:v>Embraer</c:v>
                </c:pt>
              </c:strCache>
            </c:strRef>
          </c:cat>
          <c:val>
            <c:numRef>
              <c:f>Analysis!$C$54:$C$58</c:f>
              <c:numCache>
                <c:formatCode>General</c:formatCode>
                <c:ptCount val="4"/>
                <c:pt idx="0">
                  <c:v>922</c:v>
                </c:pt>
                <c:pt idx="1">
                  <c:v>863</c:v>
                </c:pt>
              </c:numCache>
            </c:numRef>
          </c:val>
          <c:extLst>
            <c:ext xmlns:c16="http://schemas.microsoft.com/office/drawing/2014/chart" uri="{C3380CC4-5D6E-409C-BE32-E72D297353CC}">
              <c16:uniqueId val="{00000001-0723-4DE7-98AC-EAD1EAD3D80E}"/>
            </c:ext>
          </c:extLst>
        </c:ser>
        <c:ser>
          <c:idx val="2"/>
          <c:order val="2"/>
          <c:tx>
            <c:strRef>
              <c:f>Analysis!$D$52:$D$53</c:f>
              <c:strCache>
                <c:ptCount val="1"/>
                <c:pt idx="0">
                  <c:v>2012</c:v>
                </c:pt>
              </c:strCache>
            </c:strRef>
          </c:tx>
          <c:spPr>
            <a:solidFill>
              <a:schemeClr val="accent3"/>
            </a:solidFill>
            <a:ln>
              <a:noFill/>
            </a:ln>
            <a:effectLst/>
          </c:spPr>
          <c:invertIfNegative val="0"/>
          <c:cat>
            <c:strRef>
              <c:f>Analysis!$A$54:$A$58</c:f>
              <c:strCache>
                <c:ptCount val="4"/>
                <c:pt idx="0">
                  <c:v>Airbus</c:v>
                </c:pt>
                <c:pt idx="1">
                  <c:v>Boeing</c:v>
                </c:pt>
                <c:pt idx="2">
                  <c:v>COMAC</c:v>
                </c:pt>
                <c:pt idx="3">
                  <c:v>Embraer</c:v>
                </c:pt>
              </c:strCache>
            </c:strRef>
          </c:cat>
          <c:val>
            <c:numRef>
              <c:f>Analysis!$D$54:$D$58</c:f>
              <c:numCache>
                <c:formatCode>General</c:formatCode>
                <c:ptCount val="4"/>
                <c:pt idx="0">
                  <c:v>1270</c:v>
                </c:pt>
                <c:pt idx="1">
                  <c:v>1197</c:v>
                </c:pt>
              </c:numCache>
            </c:numRef>
          </c:val>
          <c:extLst>
            <c:ext xmlns:c16="http://schemas.microsoft.com/office/drawing/2014/chart" uri="{C3380CC4-5D6E-409C-BE32-E72D297353CC}">
              <c16:uniqueId val="{00000002-0723-4DE7-98AC-EAD1EAD3D80E}"/>
            </c:ext>
          </c:extLst>
        </c:ser>
        <c:ser>
          <c:idx val="3"/>
          <c:order val="3"/>
          <c:tx>
            <c:strRef>
              <c:f>Analysis!$E$52:$E$53</c:f>
              <c:strCache>
                <c:ptCount val="1"/>
                <c:pt idx="0">
                  <c:v>2013</c:v>
                </c:pt>
              </c:strCache>
            </c:strRef>
          </c:tx>
          <c:spPr>
            <a:solidFill>
              <a:schemeClr val="accent4"/>
            </a:solidFill>
            <a:ln>
              <a:noFill/>
            </a:ln>
            <a:effectLst/>
          </c:spPr>
          <c:invertIfNegative val="0"/>
          <c:cat>
            <c:strRef>
              <c:f>Analysis!$A$54:$A$58</c:f>
              <c:strCache>
                <c:ptCount val="4"/>
                <c:pt idx="0">
                  <c:v>Airbus</c:v>
                </c:pt>
                <c:pt idx="1">
                  <c:v>Boeing</c:v>
                </c:pt>
                <c:pt idx="2">
                  <c:v>COMAC</c:v>
                </c:pt>
                <c:pt idx="3">
                  <c:v>Embraer</c:v>
                </c:pt>
              </c:strCache>
            </c:strRef>
          </c:cat>
          <c:val>
            <c:numRef>
              <c:f>Analysis!$E$54:$E$58</c:f>
              <c:numCache>
                <c:formatCode>General</c:formatCode>
                <c:ptCount val="4"/>
                <c:pt idx="0">
                  <c:v>1619</c:v>
                </c:pt>
                <c:pt idx="1">
                  <c:v>1531</c:v>
                </c:pt>
              </c:numCache>
            </c:numRef>
          </c:val>
          <c:extLst>
            <c:ext xmlns:c16="http://schemas.microsoft.com/office/drawing/2014/chart" uri="{C3380CC4-5D6E-409C-BE32-E72D297353CC}">
              <c16:uniqueId val="{00000003-0723-4DE7-98AC-EAD1EAD3D80E}"/>
            </c:ext>
          </c:extLst>
        </c:ser>
        <c:ser>
          <c:idx val="4"/>
          <c:order val="4"/>
          <c:tx>
            <c:strRef>
              <c:f>Analysis!$F$52:$F$53</c:f>
              <c:strCache>
                <c:ptCount val="1"/>
                <c:pt idx="0">
                  <c:v>2014</c:v>
                </c:pt>
              </c:strCache>
            </c:strRef>
          </c:tx>
          <c:spPr>
            <a:solidFill>
              <a:schemeClr val="accent5"/>
            </a:solidFill>
            <a:ln>
              <a:noFill/>
            </a:ln>
            <a:effectLst/>
          </c:spPr>
          <c:invertIfNegative val="0"/>
          <c:cat>
            <c:strRef>
              <c:f>Analysis!$A$54:$A$58</c:f>
              <c:strCache>
                <c:ptCount val="4"/>
                <c:pt idx="0">
                  <c:v>Airbus</c:v>
                </c:pt>
                <c:pt idx="1">
                  <c:v>Boeing</c:v>
                </c:pt>
                <c:pt idx="2">
                  <c:v>COMAC</c:v>
                </c:pt>
                <c:pt idx="3">
                  <c:v>Embraer</c:v>
                </c:pt>
              </c:strCache>
            </c:strRef>
          </c:cat>
          <c:val>
            <c:numRef>
              <c:f>Analysis!$F$54:$F$58</c:f>
              <c:numCache>
                <c:formatCode>General</c:formatCode>
                <c:ptCount val="4"/>
                <c:pt idx="0">
                  <c:v>1327</c:v>
                </c:pt>
                <c:pt idx="1">
                  <c:v>1149</c:v>
                </c:pt>
              </c:numCache>
            </c:numRef>
          </c:val>
          <c:extLst>
            <c:ext xmlns:c16="http://schemas.microsoft.com/office/drawing/2014/chart" uri="{C3380CC4-5D6E-409C-BE32-E72D297353CC}">
              <c16:uniqueId val="{00000004-0723-4DE7-98AC-EAD1EAD3D80E}"/>
            </c:ext>
          </c:extLst>
        </c:ser>
        <c:ser>
          <c:idx val="5"/>
          <c:order val="5"/>
          <c:tx>
            <c:strRef>
              <c:f>Analysis!$G$52:$G$53</c:f>
              <c:strCache>
                <c:ptCount val="1"/>
                <c:pt idx="0">
                  <c:v>2015</c:v>
                </c:pt>
              </c:strCache>
            </c:strRef>
          </c:tx>
          <c:spPr>
            <a:solidFill>
              <a:schemeClr val="accent6"/>
            </a:solidFill>
            <a:ln>
              <a:noFill/>
            </a:ln>
            <a:effectLst/>
          </c:spPr>
          <c:invertIfNegative val="0"/>
          <c:cat>
            <c:strRef>
              <c:f>Analysis!$A$54:$A$58</c:f>
              <c:strCache>
                <c:ptCount val="4"/>
                <c:pt idx="0">
                  <c:v>Airbus</c:v>
                </c:pt>
                <c:pt idx="1">
                  <c:v>Boeing</c:v>
                </c:pt>
                <c:pt idx="2">
                  <c:v>COMAC</c:v>
                </c:pt>
                <c:pt idx="3">
                  <c:v>Embraer</c:v>
                </c:pt>
              </c:strCache>
            </c:strRef>
          </c:cat>
          <c:val>
            <c:numRef>
              <c:f>Analysis!$G$54:$G$58</c:f>
              <c:numCache>
                <c:formatCode>General</c:formatCode>
                <c:ptCount val="4"/>
                <c:pt idx="0">
                  <c:v>1036</c:v>
                </c:pt>
                <c:pt idx="1">
                  <c:v>768</c:v>
                </c:pt>
              </c:numCache>
            </c:numRef>
          </c:val>
          <c:extLst>
            <c:ext xmlns:c16="http://schemas.microsoft.com/office/drawing/2014/chart" uri="{C3380CC4-5D6E-409C-BE32-E72D297353CC}">
              <c16:uniqueId val="{00000005-0723-4DE7-98AC-EAD1EAD3D80E}"/>
            </c:ext>
          </c:extLst>
        </c:ser>
        <c:ser>
          <c:idx val="6"/>
          <c:order val="6"/>
          <c:tx>
            <c:strRef>
              <c:f>Analysis!$H$52:$H$53</c:f>
              <c:strCache>
                <c:ptCount val="1"/>
                <c:pt idx="0">
                  <c:v>2016</c:v>
                </c:pt>
              </c:strCache>
            </c:strRef>
          </c:tx>
          <c:spPr>
            <a:solidFill>
              <a:schemeClr val="accent1">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Analysis!$H$54:$H$58</c:f>
              <c:numCache>
                <c:formatCode>General</c:formatCode>
                <c:ptCount val="4"/>
                <c:pt idx="0">
                  <c:v>1081</c:v>
                </c:pt>
                <c:pt idx="1">
                  <c:v>839</c:v>
                </c:pt>
              </c:numCache>
            </c:numRef>
          </c:val>
          <c:extLst>
            <c:ext xmlns:c16="http://schemas.microsoft.com/office/drawing/2014/chart" uri="{C3380CC4-5D6E-409C-BE32-E72D297353CC}">
              <c16:uniqueId val="{00000006-0723-4DE7-98AC-EAD1EAD3D80E}"/>
            </c:ext>
          </c:extLst>
        </c:ser>
        <c:ser>
          <c:idx val="7"/>
          <c:order val="7"/>
          <c:tx>
            <c:strRef>
              <c:f>Analysis!$I$52:$I$53</c:f>
              <c:strCache>
                <c:ptCount val="1"/>
                <c:pt idx="0">
                  <c:v>2017</c:v>
                </c:pt>
              </c:strCache>
            </c:strRef>
          </c:tx>
          <c:spPr>
            <a:solidFill>
              <a:schemeClr val="accent2">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Analysis!$I$54:$I$58</c:f>
              <c:numCache>
                <c:formatCode>General</c:formatCode>
                <c:ptCount val="4"/>
                <c:pt idx="0">
                  <c:v>1127</c:v>
                </c:pt>
                <c:pt idx="1">
                  <c:v>912</c:v>
                </c:pt>
              </c:numCache>
            </c:numRef>
          </c:val>
          <c:extLst>
            <c:ext xmlns:c16="http://schemas.microsoft.com/office/drawing/2014/chart" uri="{C3380CC4-5D6E-409C-BE32-E72D297353CC}">
              <c16:uniqueId val="{00000007-0723-4DE7-98AC-EAD1EAD3D80E}"/>
            </c:ext>
          </c:extLst>
        </c:ser>
        <c:ser>
          <c:idx val="8"/>
          <c:order val="8"/>
          <c:tx>
            <c:strRef>
              <c:f>Analysis!$J$52:$J$53</c:f>
              <c:strCache>
                <c:ptCount val="1"/>
                <c:pt idx="0">
                  <c:v>2018</c:v>
                </c:pt>
              </c:strCache>
            </c:strRef>
          </c:tx>
          <c:spPr>
            <a:solidFill>
              <a:schemeClr val="accent3">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Analysis!$J$54:$J$58</c:f>
              <c:numCache>
                <c:formatCode>General</c:formatCode>
                <c:ptCount val="4"/>
                <c:pt idx="0">
                  <c:v>748</c:v>
                </c:pt>
                <c:pt idx="1">
                  <c:v>893</c:v>
                </c:pt>
                <c:pt idx="2">
                  <c:v>24</c:v>
                </c:pt>
                <c:pt idx="3">
                  <c:v>89</c:v>
                </c:pt>
              </c:numCache>
            </c:numRef>
          </c:val>
          <c:extLst>
            <c:ext xmlns:c16="http://schemas.microsoft.com/office/drawing/2014/chart" uri="{C3380CC4-5D6E-409C-BE32-E72D297353CC}">
              <c16:uniqueId val="{00000008-0723-4DE7-98AC-EAD1EAD3D80E}"/>
            </c:ext>
          </c:extLst>
        </c:ser>
        <c:ser>
          <c:idx val="9"/>
          <c:order val="9"/>
          <c:tx>
            <c:strRef>
              <c:f>Analysis!$K$52:$K$53</c:f>
              <c:strCache>
                <c:ptCount val="1"/>
                <c:pt idx="0">
                  <c:v>2019</c:v>
                </c:pt>
              </c:strCache>
            </c:strRef>
          </c:tx>
          <c:spPr>
            <a:solidFill>
              <a:schemeClr val="accent4">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Analysis!$K$54:$K$58</c:f>
              <c:numCache>
                <c:formatCode>General</c:formatCode>
                <c:ptCount val="4"/>
                <c:pt idx="0">
                  <c:v>768</c:v>
                </c:pt>
                <c:pt idx="1">
                  <c:v>-54</c:v>
                </c:pt>
                <c:pt idx="2">
                  <c:v>27</c:v>
                </c:pt>
                <c:pt idx="3">
                  <c:v>58</c:v>
                </c:pt>
              </c:numCache>
            </c:numRef>
          </c:val>
          <c:extLst>
            <c:ext xmlns:c16="http://schemas.microsoft.com/office/drawing/2014/chart" uri="{C3380CC4-5D6E-409C-BE32-E72D297353CC}">
              <c16:uniqueId val="{0000003A-0723-4DE7-98AC-EAD1EAD3D80E}"/>
            </c:ext>
          </c:extLst>
        </c:ser>
        <c:ser>
          <c:idx val="10"/>
          <c:order val="10"/>
          <c:tx>
            <c:strRef>
              <c:f>Analysis!$L$52:$L$53</c:f>
              <c:strCache>
                <c:ptCount val="1"/>
                <c:pt idx="0">
                  <c:v>2020</c:v>
                </c:pt>
              </c:strCache>
            </c:strRef>
          </c:tx>
          <c:spPr>
            <a:solidFill>
              <a:schemeClr val="accent5">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Analysis!$L$54:$L$58</c:f>
              <c:numCache>
                <c:formatCode>General</c:formatCode>
                <c:ptCount val="4"/>
                <c:pt idx="0">
                  <c:v>368</c:v>
                </c:pt>
                <c:pt idx="1">
                  <c:v>-1019</c:v>
                </c:pt>
                <c:pt idx="2">
                  <c:v>30</c:v>
                </c:pt>
                <c:pt idx="3">
                  <c:v>28</c:v>
                </c:pt>
              </c:numCache>
            </c:numRef>
          </c:val>
          <c:extLst>
            <c:ext xmlns:c16="http://schemas.microsoft.com/office/drawing/2014/chart" uri="{C3380CC4-5D6E-409C-BE32-E72D297353CC}">
              <c16:uniqueId val="{0000003B-0723-4DE7-98AC-EAD1EAD3D80E}"/>
            </c:ext>
          </c:extLst>
        </c:ser>
        <c:ser>
          <c:idx val="11"/>
          <c:order val="11"/>
          <c:tx>
            <c:strRef>
              <c:f>Analysis!$M$52:$M$53</c:f>
              <c:strCache>
                <c:ptCount val="1"/>
                <c:pt idx="0">
                  <c:v>2021</c:v>
                </c:pt>
              </c:strCache>
            </c:strRef>
          </c:tx>
          <c:spPr>
            <a:solidFill>
              <a:schemeClr val="accent6">
                <a:lumMod val="6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Analysis!$M$54:$M$58</c:f>
              <c:numCache>
                <c:formatCode>General</c:formatCode>
                <c:ptCount val="4"/>
                <c:pt idx="0">
                  <c:v>857</c:v>
                </c:pt>
                <c:pt idx="1">
                  <c:v>835</c:v>
                </c:pt>
                <c:pt idx="2">
                  <c:v>65</c:v>
                </c:pt>
                <c:pt idx="3">
                  <c:v>37</c:v>
                </c:pt>
              </c:numCache>
            </c:numRef>
          </c:val>
          <c:extLst>
            <c:ext xmlns:c16="http://schemas.microsoft.com/office/drawing/2014/chart" uri="{C3380CC4-5D6E-409C-BE32-E72D297353CC}">
              <c16:uniqueId val="{0000003C-0723-4DE7-98AC-EAD1EAD3D80E}"/>
            </c:ext>
          </c:extLst>
        </c:ser>
        <c:ser>
          <c:idx val="12"/>
          <c:order val="12"/>
          <c:tx>
            <c:strRef>
              <c:f>Analysis!$N$52:$N$53</c:f>
              <c:strCache>
                <c:ptCount val="1"/>
                <c:pt idx="0">
                  <c:v>2022</c:v>
                </c:pt>
              </c:strCache>
            </c:strRef>
          </c:tx>
          <c:spPr>
            <a:solidFill>
              <a:schemeClr val="accent1">
                <a:lumMod val="80000"/>
                <a:lumOff val="2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Analysis!$N$54:$N$58</c:f>
              <c:numCache>
                <c:formatCode>General</c:formatCode>
                <c:ptCount val="4"/>
                <c:pt idx="0">
                  <c:v>1172</c:v>
                </c:pt>
                <c:pt idx="1">
                  <c:v>935</c:v>
                </c:pt>
                <c:pt idx="2">
                  <c:v>100</c:v>
                </c:pt>
                <c:pt idx="3">
                  <c:v>47</c:v>
                </c:pt>
              </c:numCache>
            </c:numRef>
          </c:val>
          <c:extLst>
            <c:ext xmlns:c16="http://schemas.microsoft.com/office/drawing/2014/chart" uri="{C3380CC4-5D6E-409C-BE32-E72D297353CC}">
              <c16:uniqueId val="{0000003D-0723-4DE7-98AC-EAD1EAD3D80E}"/>
            </c:ext>
          </c:extLst>
        </c:ser>
        <c:ser>
          <c:idx val="13"/>
          <c:order val="13"/>
          <c:tx>
            <c:strRef>
              <c:f>Analysis!$O$52:$O$53</c:f>
              <c:strCache>
                <c:ptCount val="1"/>
                <c:pt idx="0">
                  <c:v>2023</c:v>
                </c:pt>
              </c:strCache>
            </c:strRef>
          </c:tx>
          <c:spPr>
            <a:solidFill>
              <a:schemeClr val="accent2">
                <a:lumMod val="80000"/>
                <a:lumOff val="2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Analysis!$O$54:$O$58</c:f>
              <c:numCache>
                <c:formatCode>General</c:formatCode>
                <c:ptCount val="4"/>
                <c:pt idx="0">
                  <c:v>2080</c:v>
                </c:pt>
                <c:pt idx="1">
                  <c:v>1476</c:v>
                </c:pt>
                <c:pt idx="2">
                  <c:v>250</c:v>
                </c:pt>
                <c:pt idx="3">
                  <c:v>108</c:v>
                </c:pt>
              </c:numCache>
            </c:numRef>
          </c:val>
          <c:extLst>
            <c:ext xmlns:c16="http://schemas.microsoft.com/office/drawing/2014/chart" uri="{C3380CC4-5D6E-409C-BE32-E72D297353CC}">
              <c16:uniqueId val="{0000003E-0723-4DE7-98AC-EAD1EAD3D80E}"/>
            </c:ext>
          </c:extLst>
        </c:ser>
        <c:ser>
          <c:idx val="14"/>
          <c:order val="14"/>
          <c:tx>
            <c:strRef>
              <c:f>Analysis!$P$52:$P$53</c:f>
              <c:strCache>
                <c:ptCount val="1"/>
                <c:pt idx="0">
                  <c:v>2024</c:v>
                </c:pt>
              </c:strCache>
            </c:strRef>
          </c:tx>
          <c:spPr>
            <a:solidFill>
              <a:schemeClr val="accent3">
                <a:lumMod val="80000"/>
                <a:lumOff val="2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Analysis!$P$54:$P$58</c:f>
              <c:numCache>
                <c:formatCode>General</c:formatCode>
                <c:ptCount val="4"/>
                <c:pt idx="0">
                  <c:v>1768</c:v>
                </c:pt>
                <c:pt idx="1">
                  <c:v>769</c:v>
                </c:pt>
                <c:pt idx="2">
                  <c:v>220</c:v>
                </c:pt>
                <c:pt idx="3">
                  <c:v>169</c:v>
                </c:pt>
              </c:numCache>
            </c:numRef>
          </c:val>
          <c:extLst>
            <c:ext xmlns:c16="http://schemas.microsoft.com/office/drawing/2014/chart" uri="{C3380CC4-5D6E-409C-BE32-E72D297353CC}">
              <c16:uniqueId val="{0000003F-0723-4DE7-98AC-EAD1EAD3D80E}"/>
            </c:ext>
          </c:extLst>
        </c:ser>
        <c:ser>
          <c:idx val="15"/>
          <c:order val="15"/>
          <c:tx>
            <c:strRef>
              <c:f>Analysis!$Q$52:$Q$53</c:f>
              <c:strCache>
                <c:ptCount val="1"/>
                <c:pt idx="0">
                  <c:v>2025</c:v>
                </c:pt>
              </c:strCache>
            </c:strRef>
          </c:tx>
          <c:spPr>
            <a:solidFill>
              <a:schemeClr val="accent4">
                <a:lumMod val="80000"/>
                <a:lumOff val="2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Analysis!$Q$54:$Q$58</c:f>
              <c:numCache>
                <c:formatCode>General</c:formatCode>
                <c:ptCount val="4"/>
                <c:pt idx="0">
                  <c:v>1440</c:v>
                </c:pt>
                <c:pt idx="1">
                  <c:v>895</c:v>
                </c:pt>
                <c:pt idx="2">
                  <c:v>200</c:v>
                </c:pt>
                <c:pt idx="3">
                  <c:v>119</c:v>
                </c:pt>
              </c:numCache>
            </c:numRef>
          </c:val>
          <c:extLst>
            <c:ext xmlns:c16="http://schemas.microsoft.com/office/drawing/2014/chart" uri="{C3380CC4-5D6E-409C-BE32-E72D297353CC}">
              <c16:uniqueId val="{00000040-0723-4DE7-98AC-EAD1EAD3D80E}"/>
            </c:ext>
          </c:extLst>
        </c:ser>
        <c:ser>
          <c:idx val="16"/>
          <c:order val="16"/>
          <c:tx>
            <c:strRef>
              <c:f>Analysis!$R$52:$R$53</c:f>
              <c:strCache>
                <c:ptCount val="1"/>
                <c:pt idx="0">
                  <c:v>2026</c:v>
                </c:pt>
              </c:strCache>
            </c:strRef>
          </c:tx>
          <c:spPr>
            <a:solidFill>
              <a:schemeClr val="accent5">
                <a:lumMod val="80000"/>
                <a:lumOff val="20000"/>
              </a:schemeClr>
            </a:solidFill>
            <a:ln>
              <a:noFill/>
            </a:ln>
            <a:effectLst/>
          </c:spPr>
          <c:invertIfNegative val="0"/>
          <c:cat>
            <c:strRef>
              <c:f>Analysis!$A$54:$A$58</c:f>
              <c:strCache>
                <c:ptCount val="4"/>
                <c:pt idx="0">
                  <c:v>Airbus</c:v>
                </c:pt>
                <c:pt idx="1">
                  <c:v>Boeing</c:v>
                </c:pt>
                <c:pt idx="2">
                  <c:v>COMAC</c:v>
                </c:pt>
                <c:pt idx="3">
                  <c:v>Embraer</c:v>
                </c:pt>
              </c:strCache>
            </c:strRef>
          </c:cat>
          <c:val>
            <c:numRef>
              <c:f>Analysis!$R$54:$R$58</c:f>
              <c:numCache>
                <c:formatCode>General</c:formatCode>
                <c:ptCount val="4"/>
                <c:pt idx="0">
                  <c:v>540</c:v>
                </c:pt>
                <c:pt idx="1">
                  <c:v>340</c:v>
                </c:pt>
                <c:pt idx="2">
                  <c:v>90</c:v>
                </c:pt>
                <c:pt idx="3">
                  <c:v>70</c:v>
                </c:pt>
              </c:numCache>
            </c:numRef>
          </c:val>
          <c:extLst>
            <c:ext xmlns:c16="http://schemas.microsoft.com/office/drawing/2014/chart" uri="{C3380CC4-5D6E-409C-BE32-E72D297353CC}">
              <c16:uniqueId val="{00000041-0723-4DE7-98AC-EAD1EAD3D80E}"/>
            </c:ext>
          </c:extLst>
        </c:ser>
        <c:dLbls>
          <c:showLegendKey val="0"/>
          <c:showVal val="0"/>
          <c:showCatName val="0"/>
          <c:showSerName val="0"/>
          <c:showPercent val="0"/>
          <c:showBubbleSize val="0"/>
        </c:dLbls>
        <c:gapWidth val="150"/>
        <c:overlap val="100"/>
        <c:axId val="544628344"/>
        <c:axId val="544630456"/>
      </c:barChart>
      <c:catAx>
        <c:axId val="544628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US"/>
          </a:p>
        </c:txPr>
        <c:crossAx val="544630456"/>
        <c:crosses val="autoZero"/>
        <c:auto val="1"/>
        <c:lblAlgn val="ctr"/>
        <c:lblOffset val="100"/>
        <c:noMultiLvlLbl val="0"/>
      </c:catAx>
      <c:valAx>
        <c:axId val="544630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4">
                    <a:lumMod val="75000"/>
                  </a:schemeClr>
                </a:solidFill>
                <a:latin typeface="+mn-lt"/>
                <a:ea typeface="+mn-ea"/>
                <a:cs typeface="+mn-cs"/>
              </a:defRPr>
            </a:pPr>
            <a:endParaRPr lang="en-US"/>
          </a:p>
        </c:txPr>
        <c:crossAx val="544628344"/>
        <c:crosses val="autoZero"/>
        <c:crossBetween val="between"/>
      </c:valAx>
      <c:spPr>
        <a:noFill/>
        <a:ln>
          <a:noFill/>
        </a:ln>
        <a:effectLst/>
      </c:spPr>
    </c:plotArea>
    <c:legend>
      <c:legendPos val="r"/>
      <c:layout>
        <c:manualLayout>
          <c:xMode val="edge"/>
          <c:yMode val="edge"/>
          <c:x val="0.87558189439946488"/>
          <c:y val="4.7994929336078067E-2"/>
          <c:w val="8.6318241892708994E-2"/>
          <c:h val="0.86229098112558678"/>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[Global_Aviation_Analysis.xlsx]Analysis!PivotTable12</c:name>
    <c:fmtId val="3"/>
  </c:pivotSource>
  <c:chart>
    <c:title>
      <c:tx>
        <c:rich>
          <a:bodyPr rot="0" spcFirstLastPara="1" vertOverflow="ellipsis" vert="horz" wrap="square" anchor="ctr" anchorCtr="1"/>
          <a:lstStyle/>
          <a:p>
            <a:pPr>
              <a:defRPr sz="1320" b="1" i="0" u="none" strike="noStrike" kern="1200" spc="0" baseline="0">
                <a:solidFill>
                  <a:schemeClr val="accent4">
                    <a:lumMod val="75000"/>
                  </a:schemeClr>
                </a:solidFill>
                <a:latin typeface="+mn-lt"/>
                <a:ea typeface="+mn-ea"/>
                <a:cs typeface="+mn-cs"/>
              </a:defRPr>
            </a:pPr>
            <a:r>
              <a:rPr lang="en-IN"/>
              <a:t>Monthly RPK Trend</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accent4">
                      <a:lumMod val="7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307421844955916E-2"/>
          <c:y val="9.6098804908269719E-2"/>
          <c:w val="0.92625996662226884"/>
          <c:h val="0.78469713124449936"/>
        </c:manualLayout>
      </c:layout>
      <c:lineChart>
        <c:grouping val="standard"/>
        <c:varyColors val="0"/>
        <c:ser>
          <c:idx val="0"/>
          <c:order val="0"/>
          <c:tx>
            <c:strRef>
              <c:f>Analysis!$AB$78</c:f>
              <c:strCache>
                <c:ptCount val="1"/>
                <c:pt idx="0">
                  <c:v>Total</c:v>
                </c:pt>
              </c:strCache>
            </c:strRef>
          </c:tx>
          <c:spPr>
            <a:ln w="28575" cap="rnd">
              <a:solidFill>
                <a:schemeClr val="accent1"/>
              </a:solidFill>
              <a:round/>
            </a:ln>
            <a:effectLst/>
          </c:spPr>
          <c:marker>
            <c:symbol val="none"/>
          </c:marker>
          <c:cat>
            <c:strRef>
              <c:f>Analysis!$AA$79:$AA$96</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Analysis!$AB$79:$AB$96</c:f>
              <c:numCache>
                <c:formatCode>General</c:formatCode>
                <c:ptCount val="17"/>
                <c:pt idx="0">
                  <c:v>3176.5799999999981</c:v>
                </c:pt>
                <c:pt idx="1">
                  <c:v>3372.4299999999989</c:v>
                </c:pt>
                <c:pt idx="2">
                  <c:v>3588.3300000000017</c:v>
                </c:pt>
                <c:pt idx="3">
                  <c:v>3786.81</c:v>
                </c:pt>
                <c:pt idx="4">
                  <c:v>3990.6899999999991</c:v>
                </c:pt>
                <c:pt idx="5">
                  <c:v>4214.4000000000005</c:v>
                </c:pt>
                <c:pt idx="6">
                  <c:v>4484.2199999999993</c:v>
                </c:pt>
                <c:pt idx="7">
                  <c:v>4719.4199999999973</c:v>
                </c:pt>
                <c:pt idx="8">
                  <c:v>5027.1400000000003</c:v>
                </c:pt>
                <c:pt idx="9">
                  <c:v>3634.16</c:v>
                </c:pt>
                <c:pt idx="10">
                  <c:v>986.23999999999978</c:v>
                </c:pt>
                <c:pt idx="11">
                  <c:v>1898.64</c:v>
                </c:pt>
                <c:pt idx="12">
                  <c:v>3753.4599999999982</c:v>
                </c:pt>
                <c:pt idx="13">
                  <c:v>4606.2499999999982</c:v>
                </c:pt>
                <c:pt idx="14">
                  <c:v>5128.0600000000004</c:v>
                </c:pt>
                <c:pt idx="15">
                  <c:v>5383.9999999999991</c:v>
                </c:pt>
                <c:pt idx="16">
                  <c:v>1626.2300000000005</c:v>
                </c:pt>
              </c:numCache>
            </c:numRef>
          </c:val>
          <c:smooth val="0"/>
          <c:extLst>
            <c:ext xmlns:c16="http://schemas.microsoft.com/office/drawing/2014/chart" uri="{C3380CC4-5D6E-409C-BE32-E72D297353CC}">
              <c16:uniqueId val="{00000000-413C-4797-A416-AA05D55D238D}"/>
            </c:ext>
          </c:extLst>
        </c:ser>
        <c:dLbls>
          <c:dLblPos val="t"/>
          <c:showLegendKey val="0"/>
          <c:showVal val="0"/>
          <c:showCatName val="0"/>
          <c:showSerName val="0"/>
          <c:showPercent val="0"/>
          <c:showBubbleSize val="0"/>
        </c:dLbls>
        <c:smooth val="0"/>
        <c:axId val="517991344"/>
        <c:axId val="500294160"/>
      </c:lineChart>
      <c:catAx>
        <c:axId val="51799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4">
                    <a:lumMod val="75000"/>
                  </a:schemeClr>
                </a:solidFill>
                <a:latin typeface="+mn-lt"/>
                <a:ea typeface="+mn-ea"/>
                <a:cs typeface="+mn-cs"/>
              </a:defRPr>
            </a:pPr>
            <a:endParaRPr lang="en-US"/>
          </a:p>
        </c:txPr>
        <c:crossAx val="500294160"/>
        <c:crosses val="autoZero"/>
        <c:auto val="1"/>
        <c:lblAlgn val="ctr"/>
        <c:lblOffset val="100"/>
        <c:noMultiLvlLbl val="0"/>
      </c:catAx>
      <c:valAx>
        <c:axId val="500294160"/>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4">
                    <a:lumMod val="75000"/>
                  </a:schemeClr>
                </a:solidFill>
                <a:latin typeface="+mn-lt"/>
                <a:ea typeface="+mn-ea"/>
                <a:cs typeface="+mn-cs"/>
              </a:defRPr>
            </a:pPr>
            <a:endParaRPr lang="en-US"/>
          </a:p>
        </c:txPr>
        <c:crossAx val="51799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sz="1100" b="1">
          <a:solidFill>
            <a:schemeClr val="accent4">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[Global_Aviation_Analysis.xlsx]Analysis!PivotTable13</c:name>
    <c:fmtId val="7"/>
  </c:pivotSource>
  <c:chart>
    <c:title>
      <c:tx>
        <c:rich>
          <a:bodyPr rot="0" spcFirstLastPara="1" vertOverflow="ellipsis" vert="horz" wrap="square" anchor="ctr" anchorCtr="1"/>
          <a:lstStyle/>
          <a:p>
            <a:pPr>
              <a:defRPr lang="en-US" sz="1600" b="1" i="0" u="none" strike="noStrike" kern="1200" spc="0" baseline="0">
                <a:solidFill>
                  <a:srgbClr val="0070C0"/>
                </a:solidFill>
                <a:latin typeface="+mn-lt"/>
                <a:ea typeface="+mn-ea"/>
                <a:cs typeface="+mn-cs"/>
              </a:defRPr>
            </a:pPr>
            <a:r>
              <a:rPr lang="en-US" sz="1600" b="1">
                <a:solidFill>
                  <a:srgbClr val="0070C0"/>
                </a:solidFill>
              </a:rPr>
              <a:t> Passengers by Airlinel</a:t>
            </a:r>
          </a:p>
        </c:rich>
      </c:tx>
      <c:layout>
        <c:manualLayout>
          <c:xMode val="edge"/>
          <c:yMode val="edge"/>
          <c:x val="0.54731276857917011"/>
          <c:y val="0"/>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14759201611428"/>
          <c:y val="6.4711744334047028E-2"/>
          <c:w val="0.67442226698406882"/>
          <c:h val="0.87800964524825165"/>
        </c:manualLayout>
      </c:layout>
      <c:barChart>
        <c:barDir val="bar"/>
        <c:grouping val="clustered"/>
        <c:varyColors val="0"/>
        <c:ser>
          <c:idx val="0"/>
          <c:order val="0"/>
          <c:tx>
            <c:strRef>
              <c:f>Analysis!$B$116</c:f>
              <c:strCache>
                <c:ptCount val="1"/>
                <c:pt idx="0">
                  <c:v>Total</c:v>
                </c:pt>
              </c:strCache>
            </c:strRef>
          </c:tx>
          <c:spPr>
            <a:solidFill>
              <a:schemeClr val="accent4">
                <a:lumMod val="75000"/>
              </a:schemeClr>
            </a:solidFill>
            <a:ln>
              <a:noFill/>
            </a:ln>
            <a:effectLst/>
          </c:spPr>
          <c:invertIfNegative val="0"/>
          <c:cat>
            <c:strRef>
              <c:f>Analysis!$A$117:$A$127</c:f>
              <c:strCache>
                <c:ptCount val="10"/>
                <c:pt idx="0">
                  <c:v>Cairo-Riyadh</c:v>
                </c:pt>
                <c:pt idx="1">
                  <c:v>Doha-London</c:v>
                </c:pt>
                <c:pt idx="2">
                  <c:v>Dubai-London</c:v>
                </c:pt>
                <c:pt idx="3">
                  <c:v>Hong Kong-San Francisco</c:v>
                </c:pt>
                <c:pt idx="4">
                  <c:v>Tokyo-Singapore</c:v>
                </c:pt>
                <c:pt idx="5">
                  <c:v>Bangkok-Singapore</c:v>
                </c:pt>
                <c:pt idx="6">
                  <c:v>Amsterdam-Bangkok</c:v>
                </c:pt>
                <c:pt idx="7">
                  <c:v>Johannesburg-London</c:v>
                </c:pt>
                <c:pt idx="8">
                  <c:v>Hong Kong-Taipei</c:v>
                </c:pt>
                <c:pt idx="9">
                  <c:v>Beijing-Shanghai</c:v>
                </c:pt>
              </c:strCache>
            </c:strRef>
          </c:cat>
          <c:val>
            <c:numRef>
              <c:f>Analysis!$B$117:$B$127</c:f>
              <c:numCache>
                <c:formatCode>General</c:formatCode>
                <c:ptCount val="10"/>
                <c:pt idx="0">
                  <c:v>9131.7000000000007</c:v>
                </c:pt>
                <c:pt idx="1">
                  <c:v>8563.5</c:v>
                </c:pt>
                <c:pt idx="2">
                  <c:v>7962.5999999999995</c:v>
                </c:pt>
                <c:pt idx="3">
                  <c:v>7628.6</c:v>
                </c:pt>
                <c:pt idx="4">
                  <c:v>7510.5</c:v>
                </c:pt>
                <c:pt idx="5">
                  <c:v>7367.5</c:v>
                </c:pt>
                <c:pt idx="6">
                  <c:v>7202.1</c:v>
                </c:pt>
                <c:pt idx="7">
                  <c:v>7074</c:v>
                </c:pt>
                <c:pt idx="8">
                  <c:v>6976.5</c:v>
                </c:pt>
                <c:pt idx="9">
                  <c:v>6817.9000000000005</c:v>
                </c:pt>
              </c:numCache>
            </c:numRef>
          </c:val>
          <c:extLst>
            <c:ext xmlns:c16="http://schemas.microsoft.com/office/drawing/2014/chart" uri="{C3380CC4-5D6E-409C-BE32-E72D297353CC}">
              <c16:uniqueId val="{00000000-4DE8-4AEF-8EF3-DA17410408F1}"/>
            </c:ext>
          </c:extLst>
        </c:ser>
        <c:dLbls>
          <c:dLblPos val="outEnd"/>
          <c:showLegendKey val="0"/>
          <c:showVal val="0"/>
          <c:showCatName val="0"/>
          <c:showSerName val="0"/>
          <c:showPercent val="0"/>
          <c:showBubbleSize val="0"/>
        </c:dLbls>
        <c:gapWidth val="182"/>
        <c:axId val="1316495944"/>
        <c:axId val="1316497352"/>
      </c:barChart>
      <c:catAx>
        <c:axId val="13164959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accent4">
                    <a:lumMod val="75000"/>
                  </a:schemeClr>
                </a:solidFill>
                <a:latin typeface="+mn-lt"/>
                <a:ea typeface="+mn-ea"/>
                <a:cs typeface="+mn-cs"/>
              </a:defRPr>
            </a:pPr>
            <a:endParaRPr lang="en-US"/>
          </a:p>
        </c:txPr>
        <c:crossAx val="1316497352"/>
        <c:crosses val="autoZero"/>
        <c:auto val="1"/>
        <c:lblAlgn val="ctr"/>
        <c:lblOffset val="100"/>
        <c:noMultiLvlLbl val="0"/>
      </c:catAx>
      <c:valAx>
        <c:axId val="1316497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accent4">
                    <a:lumMod val="50000"/>
                  </a:schemeClr>
                </a:solidFill>
                <a:latin typeface="+mn-lt"/>
                <a:ea typeface="+mn-ea"/>
                <a:cs typeface="+mn-cs"/>
              </a:defRPr>
            </a:pPr>
            <a:endParaRPr lang="en-US"/>
          </a:p>
        </c:txPr>
        <c:crossAx val="1316495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[Global_Aviation_Analysis.xlsx]Analysis!PivotTable24</c:name>
    <c:fmtId val="3"/>
  </c:pivotSource>
  <c:chart>
    <c:title>
      <c:tx>
        <c:rich>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r>
              <a:rPr lang="en-IN" sz="1600" b="1">
                <a:solidFill>
                  <a:srgbClr val="0070C0"/>
                </a:solidFill>
              </a:rPr>
              <a:t>Incidents by Year</a:t>
            </a:r>
          </a:p>
        </c:rich>
      </c:tx>
      <c:layout>
        <c:manualLayout>
          <c:xMode val="edge"/>
          <c:yMode val="edge"/>
          <c:x val="0.39837796136689302"/>
          <c:y val="1.107261282306552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070C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620528654847883E-2"/>
          <c:y val="9.1854002021475225E-3"/>
          <c:w val="0.98520991246172374"/>
          <c:h val="0.87078113853896388"/>
        </c:manualLayout>
      </c:layout>
      <c:barChart>
        <c:barDir val="col"/>
        <c:grouping val="clustered"/>
        <c:varyColors val="0"/>
        <c:ser>
          <c:idx val="0"/>
          <c:order val="0"/>
          <c:tx>
            <c:strRef>
              <c:f>Analysis!$AD$162</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Analysis!$AC$163:$AC$180</c:f>
              <c:strCache>
                <c:ptCount val="17"/>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pt idx="16">
                  <c:v>2026</c:v>
                </c:pt>
              </c:strCache>
            </c:strRef>
          </c:cat>
          <c:val>
            <c:numRef>
              <c:f>Analysis!$AD$163:$AD$180</c:f>
              <c:numCache>
                <c:formatCode>General</c:formatCode>
                <c:ptCount val="17"/>
                <c:pt idx="0">
                  <c:v>2</c:v>
                </c:pt>
                <c:pt idx="1">
                  <c:v>1</c:v>
                </c:pt>
                <c:pt idx="2">
                  <c:v>1</c:v>
                </c:pt>
                <c:pt idx="3">
                  <c:v>1</c:v>
                </c:pt>
                <c:pt idx="4">
                  <c:v>4</c:v>
                </c:pt>
                <c:pt idx="5">
                  <c:v>2</c:v>
                </c:pt>
                <c:pt idx="6">
                  <c:v>2</c:v>
                </c:pt>
                <c:pt idx="7">
                  <c:v>1</c:v>
                </c:pt>
                <c:pt idx="8">
                  <c:v>2</c:v>
                </c:pt>
                <c:pt idx="9">
                  <c:v>3</c:v>
                </c:pt>
                <c:pt idx="10">
                  <c:v>3</c:v>
                </c:pt>
                <c:pt idx="11">
                  <c:v>2</c:v>
                </c:pt>
                <c:pt idx="12">
                  <c:v>4</c:v>
                </c:pt>
                <c:pt idx="13">
                  <c:v>2</c:v>
                </c:pt>
                <c:pt idx="14">
                  <c:v>5</c:v>
                </c:pt>
                <c:pt idx="15">
                  <c:v>4</c:v>
                </c:pt>
                <c:pt idx="16">
                  <c:v>1</c:v>
                </c:pt>
              </c:numCache>
            </c:numRef>
          </c:val>
          <c:extLst>
            <c:ext xmlns:c16="http://schemas.microsoft.com/office/drawing/2014/chart" uri="{C3380CC4-5D6E-409C-BE32-E72D297353CC}">
              <c16:uniqueId val="{00000000-D5DF-4E6E-B3E0-05056EBEC408}"/>
            </c:ext>
          </c:extLst>
        </c:ser>
        <c:dLbls>
          <c:dLblPos val="outEnd"/>
          <c:showLegendKey val="0"/>
          <c:showVal val="1"/>
          <c:showCatName val="0"/>
          <c:showSerName val="0"/>
          <c:showPercent val="0"/>
          <c:showBubbleSize val="0"/>
        </c:dLbls>
        <c:gapWidth val="219"/>
        <c:overlap val="-27"/>
        <c:axId val="1296978584"/>
        <c:axId val="1296979992"/>
      </c:barChart>
      <c:catAx>
        <c:axId val="1296978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50000"/>
                  </a:schemeClr>
                </a:solidFill>
                <a:latin typeface="+mn-lt"/>
                <a:ea typeface="+mn-ea"/>
                <a:cs typeface="+mn-cs"/>
              </a:defRPr>
            </a:pPr>
            <a:endParaRPr lang="en-US"/>
          </a:p>
        </c:txPr>
        <c:crossAx val="1296979992"/>
        <c:crosses val="autoZero"/>
        <c:auto val="1"/>
        <c:lblAlgn val="ctr"/>
        <c:lblOffset val="100"/>
        <c:noMultiLvlLbl val="0"/>
      </c:catAx>
      <c:valAx>
        <c:axId val="1296979992"/>
        <c:scaling>
          <c:orientation val="minMax"/>
        </c:scaling>
        <c:delete val="1"/>
        <c:axPos val="l"/>
        <c:numFmt formatCode="General" sourceLinked="1"/>
        <c:majorTickMark val="none"/>
        <c:minorTickMark val="none"/>
        <c:tickLblPos val="nextTo"/>
        <c:crossAx val="1296978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[Global_Aviation_Analysis.xlsx]Analysis!PivotTable11</c:name>
    <c:fmtId val="4"/>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US" b="1">
                <a:solidFill>
                  <a:srgbClr val="0070C0"/>
                </a:solidFill>
              </a:rPr>
              <a:t>Load Factor by Region</a:t>
            </a:r>
          </a:p>
        </c:rich>
      </c:tx>
      <c:layout>
        <c:manualLayout>
          <c:xMode val="edge"/>
          <c:yMode val="edge"/>
          <c:x val="0.4415816395043643"/>
          <c:y val="2.285714285714285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60000"/>
              <a:lumOff val="40000"/>
            </a:schemeClr>
          </a:solidFill>
          <a:ln w="19050">
            <a:solidFill>
              <a:schemeClr val="lt1"/>
            </a:solidFill>
          </a:ln>
          <a:effectLst/>
        </c:spPr>
      </c:pivotFmt>
      <c:pivotFmt>
        <c:idx val="12"/>
        <c:spPr>
          <a:solidFill>
            <a:schemeClr val="accent1">
              <a:lumMod val="40000"/>
              <a:lumOff val="60000"/>
            </a:schemeClr>
          </a:solidFill>
          <a:ln w="19050">
            <a:solidFill>
              <a:schemeClr val="lt1"/>
            </a:solidFill>
          </a:ln>
          <a:effectLst/>
        </c:spPr>
      </c:pivotFmt>
      <c:pivotFmt>
        <c:idx val="13"/>
        <c:spPr>
          <a:solidFill>
            <a:schemeClr val="tx2">
              <a:lumMod val="75000"/>
              <a:lumOff val="25000"/>
            </a:schemeClr>
          </a:solidFill>
          <a:ln w="19050">
            <a:solidFill>
              <a:schemeClr val="lt1"/>
            </a:solidFill>
          </a:ln>
          <a:effectLst/>
        </c:spPr>
      </c:pivotFmt>
      <c:pivotFmt>
        <c:idx val="14"/>
        <c:spPr>
          <a:solidFill>
            <a:schemeClr val="accent4">
              <a:lumMod val="75000"/>
            </a:schemeClr>
          </a:solidFill>
          <a:ln w="19050">
            <a:solidFill>
              <a:schemeClr val="lt1"/>
            </a:solidFill>
          </a:ln>
          <a:effectLst/>
        </c:spPr>
      </c:pivotFmt>
    </c:pivotFmts>
    <c:plotArea>
      <c:layout>
        <c:manualLayout>
          <c:layoutTarget val="inner"/>
          <c:xMode val="edge"/>
          <c:yMode val="edge"/>
          <c:x val="3.3800891167673802E-3"/>
          <c:y val="2.3885714285714284E-2"/>
          <c:w val="0.52967441860465114"/>
          <c:h val="0.97611428571428571"/>
        </c:manualLayout>
      </c:layout>
      <c:pieChart>
        <c:varyColors val="1"/>
        <c:ser>
          <c:idx val="0"/>
          <c:order val="0"/>
          <c:tx>
            <c:strRef>
              <c:f>Analysis!$O$78</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0067-4C6D-B6B4-E48DEF6B7040}"/>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0067-4C6D-B6B4-E48DEF6B7040}"/>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0067-4C6D-B6B4-E48DEF6B7040}"/>
              </c:ext>
            </c:extLst>
          </c:dPt>
          <c:dPt>
            <c:idx val="3"/>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7-0067-4C6D-B6B4-E48DEF6B7040}"/>
              </c:ext>
            </c:extLst>
          </c:dPt>
          <c:dPt>
            <c:idx val="4"/>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9-0067-4C6D-B6B4-E48DEF6B7040}"/>
              </c:ext>
            </c:extLst>
          </c:dPt>
          <c:dPt>
            <c:idx val="5"/>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B-0067-4C6D-B6B4-E48DEF6B7040}"/>
              </c:ext>
            </c:extLst>
          </c:dPt>
          <c:cat>
            <c:strRef>
              <c:f>Analysis!$N$79:$N$85</c:f>
              <c:strCache>
                <c:ptCount val="6"/>
                <c:pt idx="0">
                  <c:v>Africa</c:v>
                </c:pt>
                <c:pt idx="1">
                  <c:v>Asia Pacific</c:v>
                </c:pt>
                <c:pt idx="2">
                  <c:v>Middle East</c:v>
                </c:pt>
                <c:pt idx="3">
                  <c:v>Latin America</c:v>
                </c:pt>
                <c:pt idx="4">
                  <c:v>Europe</c:v>
                </c:pt>
                <c:pt idx="5">
                  <c:v>North America</c:v>
                </c:pt>
              </c:strCache>
            </c:strRef>
          </c:cat>
          <c:val>
            <c:numRef>
              <c:f>Analysis!$O$79:$O$85</c:f>
              <c:numCache>
                <c:formatCode>General</c:formatCode>
                <c:ptCount val="6"/>
                <c:pt idx="0">
                  <c:v>80.776530612244912</c:v>
                </c:pt>
                <c:pt idx="1">
                  <c:v>80.699489795918353</c:v>
                </c:pt>
                <c:pt idx="2">
                  <c:v>80.676530612244889</c:v>
                </c:pt>
                <c:pt idx="3">
                  <c:v>80.668877551020387</c:v>
                </c:pt>
                <c:pt idx="4">
                  <c:v>80.446428571428555</c:v>
                </c:pt>
                <c:pt idx="5">
                  <c:v>80.318877551020407</c:v>
                </c:pt>
              </c:numCache>
            </c:numRef>
          </c:val>
          <c:extLst>
            <c:ext xmlns:c16="http://schemas.microsoft.com/office/drawing/2014/chart" uri="{C3380CC4-5D6E-409C-BE32-E72D297353CC}">
              <c16:uniqueId val="{0000000C-0067-4C6D-B6B4-E48DEF6B7040}"/>
            </c:ext>
          </c:extLst>
        </c:ser>
        <c:dLbls>
          <c:dLblPos val="bestFit"/>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15</xdr:col>
      <xdr:colOff>43914</xdr:colOff>
      <xdr:row>11</xdr:row>
      <xdr:rowOff>140029</xdr:rowOff>
    </xdr:from>
    <xdr:to>
      <xdr:col>25</xdr:col>
      <xdr:colOff>225138</xdr:colOff>
      <xdr:row>30</xdr:row>
      <xdr:rowOff>34637</xdr:rowOff>
    </xdr:to>
    <xdr:graphicFrame macro="">
      <xdr:nvGraphicFramePr>
        <xdr:cNvPr id="2" name="Chart 1">
          <a:extLst>
            <a:ext uri="{FF2B5EF4-FFF2-40B4-BE49-F238E27FC236}">
              <a16:creationId xmlns:a16="http://schemas.microsoft.com/office/drawing/2014/main" id="{EC65AD5B-3A76-136D-C137-53A02A1DD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121845</xdr:colOff>
      <xdr:row>9</xdr:row>
      <xdr:rowOff>93023</xdr:rowOff>
    </xdr:from>
    <xdr:to>
      <xdr:col>11</xdr:col>
      <xdr:colOff>311727</xdr:colOff>
      <xdr:row>30</xdr:row>
      <xdr:rowOff>121228</xdr:rowOff>
    </xdr:to>
    <xdr:graphicFrame macro="">
      <xdr:nvGraphicFramePr>
        <xdr:cNvPr id="3" name="Chart 2">
          <a:extLst>
            <a:ext uri="{FF2B5EF4-FFF2-40B4-BE49-F238E27FC236}">
              <a16:creationId xmlns:a16="http://schemas.microsoft.com/office/drawing/2014/main" id="{59BA8F80-CE7D-C326-C60C-209770B2F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329046</xdr:colOff>
      <xdr:row>58</xdr:row>
      <xdr:rowOff>83128</xdr:rowOff>
    </xdr:from>
    <xdr:to>
      <xdr:col>5</xdr:col>
      <xdr:colOff>17318</xdr:colOff>
      <xdr:row>73</xdr:row>
      <xdr:rowOff>173182</xdr:rowOff>
    </xdr:to>
    <xdr:graphicFrame macro="">
      <xdr:nvGraphicFramePr>
        <xdr:cNvPr id="4" name="Chart 3">
          <a:extLst>
            <a:ext uri="{FF2B5EF4-FFF2-40B4-BE49-F238E27FC236}">
              <a16:creationId xmlns:a16="http://schemas.microsoft.com/office/drawing/2014/main" id="{E134ADE5-1C6C-3A44-4B8F-F918756F0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761999</xdr:colOff>
      <xdr:row>76</xdr:row>
      <xdr:rowOff>152400</xdr:rowOff>
    </xdr:from>
    <xdr:to>
      <xdr:col>43</xdr:col>
      <xdr:colOff>309561</xdr:colOff>
      <xdr:row>111</xdr:row>
      <xdr:rowOff>95249</xdr:rowOff>
    </xdr:to>
    <xdr:graphicFrame macro="">
      <xdr:nvGraphicFramePr>
        <xdr:cNvPr id="5" name="Chart 4">
          <a:extLst>
            <a:ext uri="{FF2B5EF4-FFF2-40B4-BE49-F238E27FC236}">
              <a16:creationId xmlns:a16="http://schemas.microsoft.com/office/drawing/2014/main" id="{D4311F1F-5E25-DBAA-1EE6-553935F5B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0</xdr:colOff>
      <xdr:row>18</xdr:row>
      <xdr:rowOff>13854</xdr:rowOff>
    </xdr:from>
    <xdr:to>
      <xdr:col>29</xdr:col>
      <xdr:colOff>623454</xdr:colOff>
      <xdr:row>32</xdr:row>
      <xdr:rowOff>90054</xdr:rowOff>
    </xdr:to>
    <xdr:graphicFrame macro="">
      <xdr:nvGraphicFramePr>
        <xdr:cNvPr id="8" name="Chart 7">
          <a:extLst>
            <a:ext uri="{FF2B5EF4-FFF2-40B4-BE49-F238E27FC236}">
              <a16:creationId xmlns:a16="http://schemas.microsoft.com/office/drawing/2014/main" id="{241E84CE-51FB-7350-AD5F-533ABF591A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52</xdr:col>
      <xdr:colOff>34636</xdr:colOff>
      <xdr:row>16</xdr:row>
      <xdr:rowOff>100445</xdr:rowOff>
    </xdr:from>
    <xdr:to>
      <xdr:col>58</xdr:col>
      <xdr:colOff>51954</xdr:colOff>
      <xdr:row>30</xdr:row>
      <xdr:rowOff>176645</xdr:rowOff>
    </xdr:to>
    <xdr:graphicFrame macro="">
      <xdr:nvGraphicFramePr>
        <xdr:cNvPr id="10" name="Chart 9">
          <a:extLst>
            <a:ext uri="{FF2B5EF4-FFF2-40B4-BE49-F238E27FC236}">
              <a16:creationId xmlns:a16="http://schemas.microsoft.com/office/drawing/2014/main" id="{DD12F8F0-A852-1EF6-CDD7-9687C040FB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969817</xdr:colOff>
      <xdr:row>17</xdr:row>
      <xdr:rowOff>100445</xdr:rowOff>
    </xdr:from>
    <xdr:to>
      <xdr:col>36</xdr:col>
      <xdr:colOff>225136</xdr:colOff>
      <xdr:row>31</xdr:row>
      <xdr:rowOff>176645</xdr:rowOff>
    </xdr:to>
    <xdr:graphicFrame macro="">
      <xdr:nvGraphicFramePr>
        <xdr:cNvPr id="11" name="Chart 10">
          <a:extLst>
            <a:ext uri="{FF2B5EF4-FFF2-40B4-BE49-F238E27FC236}">
              <a16:creationId xmlns:a16="http://schemas.microsoft.com/office/drawing/2014/main" id="{5AAC9FB7-39A6-7B15-E7CC-2EA722BBE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95249</xdr:colOff>
      <xdr:row>161</xdr:row>
      <xdr:rowOff>176212</xdr:rowOff>
    </xdr:from>
    <xdr:to>
      <xdr:col>42</xdr:col>
      <xdr:colOff>476249</xdr:colOff>
      <xdr:row>183</xdr:row>
      <xdr:rowOff>142874</xdr:rowOff>
    </xdr:to>
    <xdr:graphicFrame macro="">
      <xdr:nvGraphicFramePr>
        <xdr:cNvPr id="13" name="Chart 12">
          <a:extLst>
            <a:ext uri="{FF2B5EF4-FFF2-40B4-BE49-F238E27FC236}">
              <a16:creationId xmlns:a16="http://schemas.microsoft.com/office/drawing/2014/main" id="{00BAAA3C-2862-84C9-F68E-709DDEBAC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247649</xdr:colOff>
      <xdr:row>31</xdr:row>
      <xdr:rowOff>128588</xdr:rowOff>
    </xdr:from>
    <xdr:to>
      <xdr:col>1</xdr:col>
      <xdr:colOff>2063460</xdr:colOff>
      <xdr:row>45</xdr:row>
      <xdr:rowOff>128588</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671B2F62-3EC8-9C41-45CB-1231BB74A43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33549" y="6376988"/>
              <a:ext cx="1815811"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795337</xdr:colOff>
      <xdr:row>31</xdr:row>
      <xdr:rowOff>176212</xdr:rowOff>
    </xdr:from>
    <xdr:to>
      <xdr:col>4</xdr:col>
      <xdr:colOff>195262</xdr:colOff>
      <xdr:row>45</xdr:row>
      <xdr:rowOff>176212</xdr:rowOff>
    </xdr:to>
    <mc:AlternateContent xmlns:mc="http://schemas.openxmlformats.org/markup-compatibility/2006">
      <mc:Choice xmlns:a14="http://schemas.microsoft.com/office/drawing/2010/main" Requires="a14">
        <xdr:graphicFrame macro="">
          <xdr:nvGraphicFramePr>
            <xdr:cNvPr id="15" name="airline_name">
              <a:extLst>
                <a:ext uri="{FF2B5EF4-FFF2-40B4-BE49-F238E27FC236}">
                  <a16:creationId xmlns:a16="http://schemas.microsoft.com/office/drawing/2014/main" id="{1A3966F6-15A6-9215-1678-59CE515E2D32}"/>
                </a:ext>
              </a:extLst>
            </xdr:cNvPr>
            <xdr:cNvGraphicFramePr/>
          </xdr:nvGraphicFramePr>
          <xdr:xfrm>
            <a:off x="0" y="0"/>
            <a:ext cx="0" cy="0"/>
          </xdr:xfrm>
          <a:graphic>
            <a:graphicData uri="http://schemas.microsoft.com/office/drawing/2010/slicer">
              <sle:slicer xmlns:sle="http://schemas.microsoft.com/office/drawing/2010/slicer" name="airline_name"/>
            </a:graphicData>
          </a:graphic>
        </xdr:graphicFrame>
      </mc:Choice>
      <mc:Fallback>
        <xdr:sp macro="" textlink="">
          <xdr:nvSpPr>
            <xdr:cNvPr id="0" name=""/>
            <xdr:cNvSpPr>
              <a:spLocks noTextEdit="1"/>
            </xdr:cNvSpPr>
          </xdr:nvSpPr>
          <xdr:spPr>
            <a:xfrm>
              <a:off x="4872037" y="6424612"/>
              <a:ext cx="1838325"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1128712</xdr:colOff>
      <xdr:row>31</xdr:row>
      <xdr:rowOff>176212</xdr:rowOff>
    </xdr:from>
    <xdr:to>
      <xdr:col>6</xdr:col>
      <xdr:colOff>171450</xdr:colOff>
      <xdr:row>45</xdr:row>
      <xdr:rowOff>176212</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3B6F127A-8C08-AA46-AF35-FA6E2E4310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43812" y="6424612"/>
              <a:ext cx="1824038"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1295399</xdr:colOff>
      <xdr:row>32</xdr:row>
      <xdr:rowOff>152400</xdr:rowOff>
    </xdr:from>
    <xdr:to>
      <xdr:col>8</xdr:col>
      <xdr:colOff>409573</xdr:colOff>
      <xdr:row>46</xdr:row>
      <xdr:rowOff>152400</xdr:rowOff>
    </xdr:to>
    <mc:AlternateContent xmlns:mc="http://schemas.openxmlformats.org/markup-compatibility/2006">
      <mc:Choice xmlns:a14="http://schemas.microsoft.com/office/drawing/2010/main" Requires="a14">
        <xdr:graphicFrame macro="">
          <xdr:nvGraphicFramePr>
            <xdr:cNvPr id="17" name="business_model">
              <a:extLst>
                <a:ext uri="{FF2B5EF4-FFF2-40B4-BE49-F238E27FC236}">
                  <a16:creationId xmlns:a16="http://schemas.microsoft.com/office/drawing/2014/main" id="{F9AE8A62-9003-A56E-8BBF-C3C4C9C460A4}"/>
                </a:ext>
              </a:extLst>
            </xdr:cNvPr>
            <xdr:cNvGraphicFramePr/>
          </xdr:nvGraphicFramePr>
          <xdr:xfrm>
            <a:off x="0" y="0"/>
            <a:ext cx="0" cy="0"/>
          </xdr:xfrm>
          <a:graphic>
            <a:graphicData uri="http://schemas.microsoft.com/office/drawing/2010/slicer">
              <sle:slicer xmlns:sle="http://schemas.microsoft.com/office/drawing/2010/slicer" name="business_model"/>
            </a:graphicData>
          </a:graphic>
        </xdr:graphicFrame>
      </mc:Choice>
      <mc:Fallback>
        <xdr:sp macro="" textlink="">
          <xdr:nvSpPr>
            <xdr:cNvPr id="0" name=""/>
            <xdr:cNvSpPr>
              <a:spLocks noTextEdit="1"/>
            </xdr:cNvSpPr>
          </xdr:nvSpPr>
          <xdr:spPr>
            <a:xfrm>
              <a:off x="10591799" y="6591300"/>
              <a:ext cx="1819274"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1152524</xdr:colOff>
      <xdr:row>32</xdr:row>
      <xdr:rowOff>119062</xdr:rowOff>
    </xdr:from>
    <xdr:to>
      <xdr:col>10</xdr:col>
      <xdr:colOff>742949</xdr:colOff>
      <xdr:row>46</xdr:row>
      <xdr:rowOff>119062</xdr:rowOff>
    </xdr:to>
    <mc:AlternateContent xmlns:mc="http://schemas.openxmlformats.org/markup-compatibility/2006">
      <mc:Choice xmlns:a14="http://schemas.microsoft.com/office/drawing/2010/main" Requires="a14">
        <xdr:graphicFrame macro="">
          <xdr:nvGraphicFramePr>
            <xdr:cNvPr id="18" name="manufacturer">
              <a:extLst>
                <a:ext uri="{FF2B5EF4-FFF2-40B4-BE49-F238E27FC236}">
                  <a16:creationId xmlns:a16="http://schemas.microsoft.com/office/drawing/2014/main" id="{759C5472-9AA7-DE49-D38C-8D6262CB9291}"/>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dr:sp macro="" textlink="">
          <xdr:nvSpPr>
            <xdr:cNvPr id="0" name=""/>
            <xdr:cNvSpPr>
              <a:spLocks noTextEdit="1"/>
            </xdr:cNvSpPr>
          </xdr:nvSpPr>
          <xdr:spPr>
            <a:xfrm>
              <a:off x="13154024" y="6557962"/>
              <a:ext cx="1838325"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261937</xdr:colOff>
      <xdr:row>165</xdr:row>
      <xdr:rowOff>152400</xdr:rowOff>
    </xdr:from>
    <xdr:to>
      <xdr:col>12</xdr:col>
      <xdr:colOff>428625</xdr:colOff>
      <xdr:row>180</xdr:row>
      <xdr:rowOff>38100</xdr:rowOff>
    </xdr:to>
    <xdr:graphicFrame macro="">
      <xdr:nvGraphicFramePr>
        <xdr:cNvPr id="19" name="Chart 18">
          <a:extLst>
            <a:ext uri="{FF2B5EF4-FFF2-40B4-BE49-F238E27FC236}">
              <a16:creationId xmlns:a16="http://schemas.microsoft.com/office/drawing/2014/main" id="{CB5AEC91-957C-D0A2-4F2F-C05DDBC0B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457200</xdr:colOff>
      <xdr:row>79</xdr:row>
      <xdr:rowOff>57148</xdr:rowOff>
    </xdr:from>
    <xdr:to>
      <xdr:col>5</xdr:col>
      <xdr:colOff>381000</xdr:colOff>
      <xdr:row>93</xdr:row>
      <xdr:rowOff>133348</xdr:rowOff>
    </xdr:to>
    <xdr:graphicFrame macro="">
      <xdr:nvGraphicFramePr>
        <xdr:cNvPr id="20" name="Chart 19">
          <a:extLst>
            <a:ext uri="{FF2B5EF4-FFF2-40B4-BE49-F238E27FC236}">
              <a16:creationId xmlns:a16="http://schemas.microsoft.com/office/drawing/2014/main" id="{F5D5A102-1D09-93E3-3FA6-1F2FE810E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398319</xdr:colOff>
      <xdr:row>79</xdr:row>
      <xdr:rowOff>100445</xdr:rowOff>
    </xdr:from>
    <xdr:to>
      <xdr:col>13</xdr:col>
      <xdr:colOff>51955</xdr:colOff>
      <xdr:row>93</xdr:row>
      <xdr:rowOff>176645</xdr:rowOff>
    </xdr:to>
    <xdr:graphicFrame macro="">
      <xdr:nvGraphicFramePr>
        <xdr:cNvPr id="21" name="Chart 20">
          <a:extLst>
            <a:ext uri="{FF2B5EF4-FFF2-40B4-BE49-F238E27FC236}">
              <a16:creationId xmlns:a16="http://schemas.microsoft.com/office/drawing/2014/main" id="{4AA9F388-8EFA-38BF-2428-6E58FF1D4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412751</xdr:colOff>
      <xdr:row>8</xdr:row>
      <xdr:rowOff>115094</xdr:rowOff>
    </xdr:from>
    <xdr:to>
      <xdr:col>34</xdr:col>
      <xdr:colOff>388939</xdr:colOff>
      <xdr:row>16</xdr:row>
      <xdr:rowOff>95250</xdr:rowOff>
    </xdr:to>
    <mc:AlternateContent xmlns:mc="http://schemas.openxmlformats.org/markup-compatibility/2006">
      <mc:Choice xmlns:a14="http://schemas.microsoft.com/office/drawing/2010/main" Requires="a14">
        <xdr:graphicFrame macro="">
          <xdr:nvGraphicFramePr>
            <xdr:cNvPr id="44" name="manufacturer 1">
              <a:extLst>
                <a:ext uri="{FF2B5EF4-FFF2-40B4-BE49-F238E27FC236}">
                  <a16:creationId xmlns:a16="http://schemas.microsoft.com/office/drawing/2014/main" id="{3E4B56EE-423A-45CD-8955-E8113EF3FF92}"/>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19113501" y="1639094"/>
              <a:ext cx="1785938" cy="1504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34</xdr:col>
      <xdr:colOff>426028</xdr:colOff>
      <xdr:row>51</xdr:row>
      <xdr:rowOff>147544</xdr:rowOff>
    </xdr:to>
    <xdr:grpSp>
      <xdr:nvGrpSpPr>
        <xdr:cNvPr id="55" name="Group 54">
          <a:extLst>
            <a:ext uri="{FF2B5EF4-FFF2-40B4-BE49-F238E27FC236}">
              <a16:creationId xmlns:a16="http://schemas.microsoft.com/office/drawing/2014/main" id="{8A71153A-8098-27EB-3CD6-D9F6E74D4F9F}"/>
            </a:ext>
          </a:extLst>
        </xdr:cNvPr>
        <xdr:cNvGrpSpPr/>
      </xdr:nvGrpSpPr>
      <xdr:grpSpPr>
        <a:xfrm>
          <a:off x="0" y="0"/>
          <a:ext cx="20936528" cy="9863044"/>
          <a:chOff x="0" y="0"/>
          <a:chExt cx="20936528" cy="9863044"/>
        </a:xfrm>
      </xdr:grpSpPr>
      <xdr:grpSp>
        <xdr:nvGrpSpPr>
          <xdr:cNvPr id="51" name="Group 50">
            <a:extLst>
              <a:ext uri="{FF2B5EF4-FFF2-40B4-BE49-F238E27FC236}">
                <a16:creationId xmlns:a16="http://schemas.microsoft.com/office/drawing/2014/main" id="{270A52B4-B44B-1F10-B40A-65CF701C2B40}"/>
              </a:ext>
            </a:extLst>
          </xdr:cNvPr>
          <xdr:cNvGrpSpPr/>
        </xdr:nvGrpSpPr>
        <xdr:grpSpPr>
          <a:xfrm>
            <a:off x="0" y="0"/>
            <a:ext cx="20923250" cy="9863044"/>
            <a:chOff x="0" y="0"/>
            <a:chExt cx="20923250" cy="9863044"/>
          </a:xfrm>
        </xdr:grpSpPr>
        <xdr:sp macro="" textlink="">
          <xdr:nvSpPr>
            <xdr:cNvPr id="2" name="Rectangle 1">
              <a:extLst>
                <a:ext uri="{FF2B5EF4-FFF2-40B4-BE49-F238E27FC236}">
                  <a16:creationId xmlns:a16="http://schemas.microsoft.com/office/drawing/2014/main" id="{228684FB-4FD1-74AC-9ADD-EE8B6018A0E1}"/>
                </a:ext>
              </a:extLst>
            </xdr:cNvPr>
            <xdr:cNvSpPr/>
          </xdr:nvSpPr>
          <xdr:spPr>
            <a:xfrm>
              <a:off x="0" y="0"/>
              <a:ext cx="20923250" cy="9858374"/>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4">
                    <a:lumMod val="60000"/>
                    <a:lumOff val="40000"/>
                  </a:schemeClr>
                </a:solidFill>
              </a:endParaRPr>
            </a:p>
          </xdr:txBody>
        </xdr:sp>
        <xdr:sp macro="" textlink="">
          <xdr:nvSpPr>
            <xdr:cNvPr id="3" name="Rectangle: Rounded Corners 2">
              <a:extLst>
                <a:ext uri="{FF2B5EF4-FFF2-40B4-BE49-F238E27FC236}">
                  <a16:creationId xmlns:a16="http://schemas.microsoft.com/office/drawing/2014/main" id="{8B433006-9F72-74F1-45E8-B3FBCD2803B6}"/>
                </a:ext>
              </a:extLst>
            </xdr:cNvPr>
            <xdr:cNvSpPr/>
          </xdr:nvSpPr>
          <xdr:spPr>
            <a:xfrm>
              <a:off x="0" y="0"/>
              <a:ext cx="20923250" cy="365124"/>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accent4">
                      <a:lumMod val="50000"/>
                    </a:schemeClr>
                  </a:solidFill>
                </a:rPr>
                <a:t>Global Aviation Dashboard</a:t>
              </a:r>
            </a:p>
          </xdr:txBody>
        </xdr:sp>
        <xdr:graphicFrame macro="">
          <xdr:nvGraphicFramePr>
            <xdr:cNvPr id="4" name="Chart 3">
              <a:extLst>
                <a:ext uri="{FF2B5EF4-FFF2-40B4-BE49-F238E27FC236}">
                  <a16:creationId xmlns:a16="http://schemas.microsoft.com/office/drawing/2014/main" id="{4155C573-5932-405A-A94B-D8D8D60AE5E1}"/>
                </a:ext>
              </a:extLst>
            </xdr:cNvPr>
            <xdr:cNvGraphicFramePr>
              <a:graphicFrameLocks/>
            </xdr:cNvGraphicFramePr>
          </xdr:nvGraphicFramePr>
          <xdr:xfrm>
            <a:off x="0" y="1004524"/>
            <a:ext cx="4150178" cy="8806225"/>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31" name="Group 30">
              <a:extLst>
                <a:ext uri="{FF2B5EF4-FFF2-40B4-BE49-F238E27FC236}">
                  <a16:creationId xmlns:a16="http://schemas.microsoft.com/office/drawing/2014/main" id="{972649AA-62E2-4F82-9A50-3DD105F982D2}"/>
                </a:ext>
              </a:extLst>
            </xdr:cNvPr>
            <xdr:cNvGrpSpPr/>
          </xdr:nvGrpSpPr>
          <xdr:grpSpPr>
            <a:xfrm>
              <a:off x="47626" y="380998"/>
              <a:ext cx="12842874" cy="555627"/>
              <a:chOff x="178595" y="523873"/>
              <a:chExt cx="9929811" cy="571502"/>
            </a:xfrm>
            <a:solidFill>
              <a:schemeClr val="accent1">
                <a:lumMod val="75000"/>
              </a:schemeClr>
            </a:solidFill>
          </xdr:grpSpPr>
          <xdr:grpSp>
            <xdr:nvGrpSpPr>
              <xdr:cNvPr id="17" name="Group 16">
                <a:extLst>
                  <a:ext uri="{FF2B5EF4-FFF2-40B4-BE49-F238E27FC236}">
                    <a16:creationId xmlns:a16="http://schemas.microsoft.com/office/drawing/2014/main" id="{17B660BA-F232-0A59-BEF2-27110D847FF8}"/>
                  </a:ext>
                </a:extLst>
              </xdr:cNvPr>
              <xdr:cNvGrpSpPr/>
            </xdr:nvGrpSpPr>
            <xdr:grpSpPr>
              <a:xfrm>
                <a:off x="178595" y="523873"/>
                <a:ext cx="1464468" cy="547689"/>
                <a:chOff x="190501" y="511968"/>
                <a:chExt cx="1464468" cy="500064"/>
              </a:xfrm>
              <a:grpFill/>
            </xdr:grpSpPr>
            <xdr:sp macro="" textlink="">
              <xdr:nvSpPr>
                <xdr:cNvPr id="5" name="Rectangle: Rounded Corners 4">
                  <a:extLst>
                    <a:ext uri="{FF2B5EF4-FFF2-40B4-BE49-F238E27FC236}">
                      <a16:creationId xmlns:a16="http://schemas.microsoft.com/office/drawing/2014/main" id="{223CA41E-D5AE-48F5-0FFC-3228A73D8FF4}"/>
                    </a:ext>
                  </a:extLst>
                </xdr:cNvPr>
                <xdr:cNvSpPr/>
              </xdr:nvSpPr>
              <xdr:spPr>
                <a:xfrm>
                  <a:off x="190501" y="511968"/>
                  <a:ext cx="1464468" cy="50006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accent4">
                          <a:lumMod val="20000"/>
                          <a:lumOff val="80000"/>
                        </a:schemeClr>
                      </a:solidFill>
                      <a:effectLst/>
                      <a:latin typeface="+mn-lt"/>
                      <a:ea typeface="+mn-ea"/>
                      <a:cs typeface="+mn-cs"/>
                    </a:rPr>
                    <a:t>Total Revenue</a:t>
                  </a:r>
                  <a:r>
                    <a:rPr lang="en-IN" sz="1200" b="1">
                      <a:solidFill>
                        <a:schemeClr val="accent4">
                          <a:lumMod val="20000"/>
                          <a:lumOff val="80000"/>
                        </a:schemeClr>
                      </a:solidFill>
                      <a:effectLst/>
                    </a:rPr>
                    <a:t> </a:t>
                  </a:r>
                  <a:endParaRPr lang="en-IN" sz="1200" b="1" i="0" u="none" strike="noStrike">
                    <a:solidFill>
                      <a:schemeClr val="accent4">
                        <a:lumMod val="20000"/>
                        <a:lumOff val="80000"/>
                      </a:schemeClr>
                    </a:solidFill>
                    <a:effectLst/>
                    <a:latin typeface="+mn-lt"/>
                    <a:ea typeface="+mn-ea"/>
                    <a:cs typeface="+mn-cs"/>
                  </a:endParaRPr>
                </a:p>
                <a:p>
                  <a:pPr algn="ctr"/>
                  <a:endParaRPr lang="en-IN" sz="1100">
                    <a:solidFill>
                      <a:schemeClr val="accent4">
                        <a:lumMod val="20000"/>
                        <a:lumOff val="80000"/>
                      </a:schemeClr>
                    </a:solidFill>
                  </a:endParaRPr>
                </a:p>
              </xdr:txBody>
            </xdr:sp>
            <xdr:sp macro="" textlink="Analysis!A4">
              <xdr:nvSpPr>
                <xdr:cNvPr id="13" name="TextBox 12">
                  <a:extLst>
                    <a:ext uri="{FF2B5EF4-FFF2-40B4-BE49-F238E27FC236}">
                      <a16:creationId xmlns:a16="http://schemas.microsoft.com/office/drawing/2014/main" id="{99ECD3FF-6D2F-EE69-FF99-6A0B964D14D9}"/>
                    </a:ext>
                  </a:extLst>
                </xdr:cNvPr>
                <xdr:cNvSpPr txBox="1"/>
              </xdr:nvSpPr>
              <xdr:spPr>
                <a:xfrm>
                  <a:off x="500063" y="750094"/>
                  <a:ext cx="809625" cy="26193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FB0597C-59D7-4AF2-8B44-13F3D622AD5D}" type="TxLink">
                    <a:rPr lang="en-US" sz="1400" b="1" i="0" u="none" strike="noStrike">
                      <a:solidFill>
                        <a:srgbClr val="47D359"/>
                      </a:solidFill>
                      <a:latin typeface="Aptos Narrow"/>
                    </a:rPr>
                    <a:t>$ 7,811.25 B</a:t>
                  </a:fld>
                  <a:endParaRPr lang="en-IN" sz="1100"/>
                </a:p>
              </xdr:txBody>
            </xdr:sp>
          </xdr:grpSp>
          <xdr:grpSp>
            <xdr:nvGrpSpPr>
              <xdr:cNvPr id="29" name="Group 28">
                <a:extLst>
                  <a:ext uri="{FF2B5EF4-FFF2-40B4-BE49-F238E27FC236}">
                    <a16:creationId xmlns:a16="http://schemas.microsoft.com/office/drawing/2014/main" id="{4EE00ECE-A92E-139E-DECB-24E44B8717D2}"/>
                  </a:ext>
                </a:extLst>
              </xdr:cNvPr>
              <xdr:cNvGrpSpPr/>
            </xdr:nvGrpSpPr>
            <xdr:grpSpPr>
              <a:xfrm>
                <a:off x="1766888" y="523874"/>
                <a:ext cx="1452562" cy="547688"/>
                <a:chOff x="1766888" y="523874"/>
                <a:chExt cx="1452562" cy="547688"/>
              </a:xfrm>
              <a:grpFill/>
            </xdr:grpSpPr>
            <xdr:sp macro="" textlink="">
              <xdr:nvSpPr>
                <xdr:cNvPr id="6" name="Rectangle: Rounded Corners 5">
                  <a:extLst>
                    <a:ext uri="{FF2B5EF4-FFF2-40B4-BE49-F238E27FC236}">
                      <a16:creationId xmlns:a16="http://schemas.microsoft.com/office/drawing/2014/main" id="{AA38B3CA-C729-C779-3285-CBF78963E333}"/>
                    </a:ext>
                  </a:extLst>
                </xdr:cNvPr>
                <xdr:cNvSpPr/>
              </xdr:nvSpPr>
              <xdr:spPr>
                <a:xfrm>
                  <a:off x="1766888" y="523874"/>
                  <a:ext cx="1452562" cy="54768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i="0" u="none" strike="noStrike">
                      <a:solidFill>
                        <a:schemeClr val="accent4">
                          <a:lumMod val="20000"/>
                          <a:lumOff val="80000"/>
                        </a:schemeClr>
                      </a:solidFill>
                      <a:effectLst/>
                      <a:latin typeface="+mn-lt"/>
                      <a:ea typeface="+mn-ea"/>
                      <a:cs typeface="+mn-cs"/>
                    </a:rPr>
                    <a:t>Total Passengers </a:t>
                  </a:r>
                </a:p>
                <a:p>
                  <a:pPr marL="0" indent="0" algn="ctr"/>
                  <a:endParaRPr lang="en-IN" sz="1200" b="1" i="0" u="none" strike="noStrike">
                    <a:solidFill>
                      <a:schemeClr val="accent4">
                        <a:lumMod val="20000"/>
                        <a:lumOff val="80000"/>
                      </a:schemeClr>
                    </a:solidFill>
                    <a:effectLst/>
                    <a:latin typeface="+mn-lt"/>
                    <a:ea typeface="+mn-ea"/>
                    <a:cs typeface="+mn-cs"/>
                  </a:endParaRPr>
                </a:p>
              </xdr:txBody>
            </xdr:sp>
            <xdr:sp macro="" textlink="Analysis!C4">
              <xdr:nvSpPr>
                <xdr:cNvPr id="15" name="TextBox 14">
                  <a:extLst>
                    <a:ext uri="{FF2B5EF4-FFF2-40B4-BE49-F238E27FC236}">
                      <a16:creationId xmlns:a16="http://schemas.microsoft.com/office/drawing/2014/main" id="{F75C9693-8E92-B73D-E024-B1D57EFA878C}"/>
                    </a:ext>
                  </a:extLst>
                </xdr:cNvPr>
                <xdr:cNvSpPr txBox="1"/>
              </xdr:nvSpPr>
              <xdr:spPr>
                <a:xfrm>
                  <a:off x="2100262" y="785813"/>
                  <a:ext cx="940594" cy="234723"/>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34A377A-05D2-48B0-A0A8-953A85E4246E}" type="TxLink">
                    <a:rPr lang="en-US" sz="1400" b="1" i="0" u="none" strike="noStrike">
                      <a:solidFill>
                        <a:schemeClr val="accent3">
                          <a:lumMod val="60000"/>
                          <a:lumOff val="40000"/>
                        </a:schemeClr>
                      </a:solidFill>
                      <a:latin typeface="Aptos Narrow"/>
                    </a:rPr>
                    <a:t>14077.8</a:t>
                  </a:fld>
                  <a:endParaRPr lang="en-IN" sz="1100">
                    <a:solidFill>
                      <a:schemeClr val="accent3">
                        <a:lumMod val="60000"/>
                        <a:lumOff val="40000"/>
                      </a:schemeClr>
                    </a:solidFill>
                  </a:endParaRPr>
                </a:p>
              </xdr:txBody>
            </xdr:sp>
          </xdr:grpSp>
          <xdr:grpSp>
            <xdr:nvGrpSpPr>
              <xdr:cNvPr id="20" name="Group 19">
                <a:extLst>
                  <a:ext uri="{FF2B5EF4-FFF2-40B4-BE49-F238E27FC236}">
                    <a16:creationId xmlns:a16="http://schemas.microsoft.com/office/drawing/2014/main" id="{0FF5FB76-B50C-A81C-12CA-CA506CF8FBBF}"/>
                  </a:ext>
                </a:extLst>
              </xdr:cNvPr>
              <xdr:cNvGrpSpPr/>
            </xdr:nvGrpSpPr>
            <xdr:grpSpPr>
              <a:xfrm>
                <a:off x="3345657" y="547687"/>
                <a:ext cx="1604962" cy="547688"/>
                <a:chOff x="3369469" y="523874"/>
                <a:chExt cx="1452562" cy="500063"/>
              </a:xfrm>
              <a:grpFill/>
            </xdr:grpSpPr>
            <xdr:sp macro="" textlink="">
              <xdr:nvSpPr>
                <xdr:cNvPr id="10" name="Rectangle: Rounded Corners 9">
                  <a:extLst>
                    <a:ext uri="{FF2B5EF4-FFF2-40B4-BE49-F238E27FC236}">
                      <a16:creationId xmlns:a16="http://schemas.microsoft.com/office/drawing/2014/main" id="{6F3B9774-E2EA-72BD-31FC-5438BA458AA2}"/>
                    </a:ext>
                  </a:extLst>
                </xdr:cNvPr>
                <xdr:cNvSpPr/>
              </xdr:nvSpPr>
              <xdr:spPr>
                <a:xfrm>
                  <a:off x="3369469" y="523874"/>
                  <a:ext cx="1452562" cy="50006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i="0" u="none" strike="noStrike">
                      <a:solidFill>
                        <a:schemeClr val="accent4">
                          <a:lumMod val="20000"/>
                          <a:lumOff val="80000"/>
                        </a:schemeClr>
                      </a:solidFill>
                      <a:effectLst/>
                      <a:latin typeface="+mn-lt"/>
                      <a:ea typeface="+mn-ea"/>
                      <a:cs typeface="+mn-cs"/>
                    </a:rPr>
                    <a:t>Average Load Factor </a:t>
                  </a:r>
                </a:p>
              </xdr:txBody>
            </xdr:sp>
            <xdr:sp macro="" textlink="Analysis!E4">
              <xdr:nvSpPr>
                <xdr:cNvPr id="19" name="TextBox 18">
                  <a:extLst>
                    <a:ext uri="{FF2B5EF4-FFF2-40B4-BE49-F238E27FC236}">
                      <a16:creationId xmlns:a16="http://schemas.microsoft.com/office/drawing/2014/main" id="{17FC2473-D94E-8F18-20FC-E29D5915E03D}"/>
                    </a:ext>
                  </a:extLst>
                </xdr:cNvPr>
                <xdr:cNvSpPr txBox="1"/>
              </xdr:nvSpPr>
              <xdr:spPr>
                <a:xfrm>
                  <a:off x="3500437" y="773906"/>
                  <a:ext cx="1178719" cy="22621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406672-3B9E-4F58-B290-611AFC10D98A}" type="TxLink">
                    <a:rPr lang="en-US" sz="1400" b="1" i="0" u="none" strike="noStrike">
                      <a:solidFill>
                        <a:srgbClr val="47D359"/>
                      </a:solidFill>
                      <a:latin typeface="Aptos Narrow"/>
                    </a:rPr>
                    <a:pPr algn="ctr"/>
                    <a:t>94783</a:t>
                  </a:fld>
                  <a:endParaRPr lang="en-IN" sz="1100"/>
                </a:p>
              </xdr:txBody>
            </xdr:sp>
          </xdr:grpSp>
          <xdr:grpSp>
            <xdr:nvGrpSpPr>
              <xdr:cNvPr id="27" name="Group 26">
                <a:extLst>
                  <a:ext uri="{FF2B5EF4-FFF2-40B4-BE49-F238E27FC236}">
                    <a16:creationId xmlns:a16="http://schemas.microsoft.com/office/drawing/2014/main" id="{7D84CF46-CC3F-66B7-00EC-B5F20DCB9568}"/>
                  </a:ext>
                </a:extLst>
              </xdr:cNvPr>
              <xdr:cNvGrpSpPr/>
            </xdr:nvGrpSpPr>
            <xdr:grpSpPr>
              <a:xfrm>
                <a:off x="5038725" y="523874"/>
                <a:ext cx="1559719" cy="547688"/>
                <a:chOff x="5038725" y="523874"/>
                <a:chExt cx="1559719" cy="547688"/>
              </a:xfrm>
              <a:grpFill/>
            </xdr:grpSpPr>
            <xdr:sp macro="" textlink="">
              <xdr:nvSpPr>
                <xdr:cNvPr id="9" name="Rectangle: Rounded Corners 8">
                  <a:extLst>
                    <a:ext uri="{FF2B5EF4-FFF2-40B4-BE49-F238E27FC236}">
                      <a16:creationId xmlns:a16="http://schemas.microsoft.com/office/drawing/2014/main" id="{2D1F4327-093C-8876-6639-0A37979161BC}"/>
                    </a:ext>
                  </a:extLst>
                </xdr:cNvPr>
                <xdr:cNvSpPr/>
              </xdr:nvSpPr>
              <xdr:spPr>
                <a:xfrm>
                  <a:off x="5038725" y="523874"/>
                  <a:ext cx="1559719" cy="54768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i="0" u="none" strike="noStrike">
                      <a:solidFill>
                        <a:schemeClr val="accent4">
                          <a:lumMod val="20000"/>
                          <a:lumOff val="80000"/>
                        </a:schemeClr>
                      </a:solidFill>
                      <a:effectLst/>
                      <a:latin typeface="+mn-lt"/>
                      <a:ea typeface="+mn-ea"/>
                      <a:cs typeface="+mn-cs"/>
                    </a:rPr>
                    <a:t>Total Aircraft Orders</a:t>
                  </a:r>
                </a:p>
              </xdr:txBody>
            </xdr:sp>
            <xdr:sp macro="" textlink="Analysis!G4">
              <xdr:nvSpPr>
                <xdr:cNvPr id="21" name="TextBox 20">
                  <a:extLst>
                    <a:ext uri="{FF2B5EF4-FFF2-40B4-BE49-F238E27FC236}">
                      <a16:creationId xmlns:a16="http://schemas.microsoft.com/office/drawing/2014/main" id="{EBB7DEBF-CC38-6882-5992-85D8DC7EAEAA}"/>
                    </a:ext>
                  </a:extLst>
                </xdr:cNvPr>
                <xdr:cNvSpPr txBox="1"/>
              </xdr:nvSpPr>
              <xdr:spPr>
                <a:xfrm>
                  <a:off x="5107780" y="750094"/>
                  <a:ext cx="1273969" cy="2381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AA676D-2438-4139-B400-5EF09C682466}" type="TxLink">
                    <a:rPr lang="en-US" sz="1400" b="1" i="0" u="none" strike="noStrike">
                      <a:solidFill>
                        <a:srgbClr val="47D359"/>
                      </a:solidFill>
                      <a:latin typeface="Aptos Narrow"/>
                    </a:rPr>
                    <a:pPr algn="ctr"/>
                    <a:t>33287</a:t>
                  </a:fld>
                  <a:endParaRPr lang="en-IN" sz="1100"/>
                </a:p>
              </xdr:txBody>
            </xdr:sp>
          </xdr:grpSp>
          <xdr:grpSp>
            <xdr:nvGrpSpPr>
              <xdr:cNvPr id="28" name="Group 27">
                <a:extLst>
                  <a:ext uri="{FF2B5EF4-FFF2-40B4-BE49-F238E27FC236}">
                    <a16:creationId xmlns:a16="http://schemas.microsoft.com/office/drawing/2014/main" id="{52DD0A2A-A2A5-DDA5-2C19-450E5D36B1C6}"/>
                  </a:ext>
                </a:extLst>
              </xdr:cNvPr>
              <xdr:cNvGrpSpPr/>
            </xdr:nvGrpSpPr>
            <xdr:grpSpPr>
              <a:xfrm>
                <a:off x="6757988" y="535781"/>
                <a:ext cx="1595438" cy="547688"/>
                <a:chOff x="6757988" y="535781"/>
                <a:chExt cx="1595438" cy="547688"/>
              </a:xfrm>
              <a:grpFill/>
            </xdr:grpSpPr>
            <xdr:sp macro="" textlink="">
              <xdr:nvSpPr>
                <xdr:cNvPr id="8" name="Rectangle: Rounded Corners 7">
                  <a:extLst>
                    <a:ext uri="{FF2B5EF4-FFF2-40B4-BE49-F238E27FC236}">
                      <a16:creationId xmlns:a16="http://schemas.microsoft.com/office/drawing/2014/main" id="{62761F07-2370-6790-6078-110BEC5855F0}"/>
                    </a:ext>
                  </a:extLst>
                </xdr:cNvPr>
                <xdr:cNvSpPr/>
              </xdr:nvSpPr>
              <xdr:spPr>
                <a:xfrm>
                  <a:off x="6757988" y="535781"/>
                  <a:ext cx="1595438" cy="54768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i="0" u="none" strike="noStrike">
                      <a:solidFill>
                        <a:schemeClr val="accent4">
                          <a:lumMod val="20000"/>
                          <a:lumOff val="80000"/>
                        </a:schemeClr>
                      </a:solidFill>
                      <a:effectLst/>
                      <a:latin typeface="+mn-lt"/>
                      <a:ea typeface="+mn-ea"/>
                      <a:cs typeface="+mn-cs"/>
                    </a:rPr>
                    <a:t>Total Deliveries </a:t>
                  </a:r>
                </a:p>
              </xdr:txBody>
            </xdr:sp>
            <xdr:sp macro="" textlink="Analysis!I4">
              <xdr:nvSpPr>
                <xdr:cNvPr id="22" name="TextBox 21">
                  <a:extLst>
                    <a:ext uri="{FF2B5EF4-FFF2-40B4-BE49-F238E27FC236}">
                      <a16:creationId xmlns:a16="http://schemas.microsoft.com/office/drawing/2014/main" id="{DB6AE1CA-820C-8923-EBB7-19E8F02F8326}"/>
                    </a:ext>
                  </a:extLst>
                </xdr:cNvPr>
                <xdr:cNvSpPr txBox="1"/>
              </xdr:nvSpPr>
              <xdr:spPr>
                <a:xfrm>
                  <a:off x="6990808" y="773906"/>
                  <a:ext cx="1095375" cy="2381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611F5E-D5B7-4273-AE27-B4028D0486BC}" type="TxLink">
                    <a:rPr lang="en-US" sz="1400" b="1" i="0" u="none" strike="noStrike">
                      <a:solidFill>
                        <a:srgbClr val="47D359"/>
                      </a:solidFill>
                      <a:latin typeface="Aptos Narrow"/>
                    </a:rPr>
                    <a:pPr algn="ctr"/>
                    <a:t>20619</a:t>
                  </a:fld>
                  <a:endParaRPr lang="en-IN" sz="1100"/>
                </a:p>
              </xdr:txBody>
            </xdr:sp>
          </xdr:grpSp>
          <xdr:grpSp>
            <xdr:nvGrpSpPr>
              <xdr:cNvPr id="24" name="Group 23">
                <a:extLst>
                  <a:ext uri="{FF2B5EF4-FFF2-40B4-BE49-F238E27FC236}">
                    <a16:creationId xmlns:a16="http://schemas.microsoft.com/office/drawing/2014/main" id="{0A10C6FD-F0F4-F51D-1F0B-ECF6BA900C53}"/>
                  </a:ext>
                </a:extLst>
              </xdr:cNvPr>
              <xdr:cNvGrpSpPr/>
            </xdr:nvGrpSpPr>
            <xdr:grpSpPr>
              <a:xfrm>
                <a:off x="8512970" y="535779"/>
                <a:ext cx="1595436" cy="547688"/>
                <a:chOff x="8512970" y="571498"/>
                <a:chExt cx="1595436" cy="500063"/>
              </a:xfrm>
              <a:grpFill/>
            </xdr:grpSpPr>
            <xdr:sp macro="" textlink="">
              <xdr:nvSpPr>
                <xdr:cNvPr id="7" name="Rectangle: Rounded Corners 6">
                  <a:extLst>
                    <a:ext uri="{FF2B5EF4-FFF2-40B4-BE49-F238E27FC236}">
                      <a16:creationId xmlns:a16="http://schemas.microsoft.com/office/drawing/2014/main" id="{5A4CD4A8-4D76-6F9E-6773-B9737D102856}"/>
                    </a:ext>
                  </a:extLst>
                </xdr:cNvPr>
                <xdr:cNvSpPr/>
              </xdr:nvSpPr>
              <xdr:spPr>
                <a:xfrm>
                  <a:off x="8512970" y="571498"/>
                  <a:ext cx="1595436" cy="500063"/>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200" b="1" i="0" u="none" strike="noStrike">
                      <a:solidFill>
                        <a:schemeClr val="accent4">
                          <a:lumMod val="20000"/>
                          <a:lumOff val="80000"/>
                        </a:schemeClr>
                      </a:solidFill>
                      <a:effectLst/>
                      <a:latin typeface="+mn-lt"/>
                      <a:ea typeface="+mn-ea"/>
                      <a:cs typeface="+mn-cs"/>
                    </a:rPr>
                    <a:t>Total Incidents </a:t>
                  </a:r>
                </a:p>
              </xdr:txBody>
            </xdr:sp>
            <xdr:sp macro="" textlink="Analysis!K4">
              <xdr:nvSpPr>
                <xdr:cNvPr id="23" name="TextBox 22">
                  <a:extLst>
                    <a:ext uri="{FF2B5EF4-FFF2-40B4-BE49-F238E27FC236}">
                      <a16:creationId xmlns:a16="http://schemas.microsoft.com/office/drawing/2014/main" id="{63027939-FC4D-4249-1A3D-8E5D6453E6E2}"/>
                    </a:ext>
                  </a:extLst>
                </xdr:cNvPr>
                <xdr:cNvSpPr txBox="1"/>
              </xdr:nvSpPr>
              <xdr:spPr>
                <a:xfrm>
                  <a:off x="8715375" y="845345"/>
                  <a:ext cx="1238250" cy="20240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FA4EAB-C17E-4389-8A15-AB5012B20225}" type="TxLink">
                    <a:rPr lang="en-US" sz="1600" b="1" i="0" u="none" strike="noStrike">
                      <a:solidFill>
                        <a:srgbClr val="FF0000"/>
                      </a:solidFill>
                      <a:latin typeface="Aptos Narrow"/>
                    </a:rPr>
                    <a:pPr algn="ctr"/>
                    <a:t>40</a:t>
                  </a:fld>
                  <a:endParaRPr lang="en-IN" sz="1200" b="1">
                    <a:solidFill>
                      <a:srgbClr val="FF0000"/>
                    </a:solidFill>
                  </a:endParaRPr>
                </a:p>
              </xdr:txBody>
            </xdr:sp>
          </xdr:grpSp>
        </xdr:grpSp>
        <xdr:graphicFrame macro="">
          <xdr:nvGraphicFramePr>
            <xdr:cNvPr id="32" name="Chart 31">
              <a:extLst>
                <a:ext uri="{FF2B5EF4-FFF2-40B4-BE49-F238E27FC236}">
                  <a16:creationId xmlns:a16="http://schemas.microsoft.com/office/drawing/2014/main" id="{F8F06341-A1C3-45D2-9C3A-C6C84A6ECBB9}"/>
                </a:ext>
              </a:extLst>
            </xdr:cNvPr>
            <xdr:cNvGraphicFramePr>
              <a:graphicFrameLocks/>
            </xdr:cNvGraphicFramePr>
          </xdr:nvGraphicFramePr>
          <xdr:xfrm>
            <a:off x="4197961" y="4175125"/>
            <a:ext cx="6451897" cy="28257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3" name="Chart 32">
              <a:extLst>
                <a:ext uri="{FF2B5EF4-FFF2-40B4-BE49-F238E27FC236}">
                  <a16:creationId xmlns:a16="http://schemas.microsoft.com/office/drawing/2014/main" id="{CB161A83-31AE-4AE4-89E9-D7C4B06F6CFC}"/>
                </a:ext>
              </a:extLst>
            </xdr:cNvPr>
            <xdr:cNvGraphicFramePr>
              <a:graphicFrameLocks/>
            </xdr:cNvGraphicFramePr>
          </xdr:nvGraphicFramePr>
          <xdr:xfrm>
            <a:off x="8103001" y="7000875"/>
            <a:ext cx="3771499" cy="28416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4" name="Chart 33">
              <a:extLst>
                <a:ext uri="{FF2B5EF4-FFF2-40B4-BE49-F238E27FC236}">
                  <a16:creationId xmlns:a16="http://schemas.microsoft.com/office/drawing/2014/main" id="{4FA04EB7-7212-4838-B5FE-1D370DAB4CDC}"/>
                </a:ext>
              </a:extLst>
            </xdr:cNvPr>
            <xdr:cNvGraphicFramePr>
              <a:graphicFrameLocks/>
            </xdr:cNvGraphicFramePr>
          </xdr:nvGraphicFramePr>
          <xdr:xfrm>
            <a:off x="11826875" y="6969124"/>
            <a:ext cx="3492500" cy="287337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5" name="Chart 34">
              <a:extLst>
                <a:ext uri="{FF2B5EF4-FFF2-40B4-BE49-F238E27FC236}">
                  <a16:creationId xmlns:a16="http://schemas.microsoft.com/office/drawing/2014/main" id="{42B25EB5-5536-4791-A20F-7D42719C6923}"/>
                </a:ext>
              </a:extLst>
            </xdr:cNvPr>
            <xdr:cNvGraphicFramePr>
              <a:graphicFrameLocks/>
            </xdr:cNvGraphicFramePr>
          </xdr:nvGraphicFramePr>
          <xdr:xfrm>
            <a:off x="4125182" y="7000875"/>
            <a:ext cx="3955193" cy="2815718"/>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36" name="Chart 35">
              <a:extLst>
                <a:ext uri="{FF2B5EF4-FFF2-40B4-BE49-F238E27FC236}">
                  <a16:creationId xmlns:a16="http://schemas.microsoft.com/office/drawing/2014/main" id="{3E5EAEB5-78EE-4DDA-8F7F-C2C3FDCC8D3C}"/>
                </a:ext>
              </a:extLst>
            </xdr:cNvPr>
            <xdr:cNvGraphicFramePr>
              <a:graphicFrameLocks/>
            </xdr:cNvGraphicFramePr>
          </xdr:nvGraphicFramePr>
          <xdr:xfrm>
            <a:off x="10706554" y="4159249"/>
            <a:ext cx="4676321" cy="286430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8" name="Chart 37">
              <a:extLst>
                <a:ext uri="{FF2B5EF4-FFF2-40B4-BE49-F238E27FC236}">
                  <a16:creationId xmlns:a16="http://schemas.microsoft.com/office/drawing/2014/main" id="{9EB8E000-BE35-47BC-9B01-25FC22C097D1}"/>
                </a:ext>
              </a:extLst>
            </xdr:cNvPr>
            <xdr:cNvGraphicFramePr>
              <a:graphicFrameLocks/>
            </xdr:cNvGraphicFramePr>
          </xdr:nvGraphicFramePr>
          <xdr:xfrm>
            <a:off x="10719128" y="1016000"/>
            <a:ext cx="6552872" cy="312737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0" name="Chart 39">
              <a:extLst>
                <a:ext uri="{FF2B5EF4-FFF2-40B4-BE49-F238E27FC236}">
                  <a16:creationId xmlns:a16="http://schemas.microsoft.com/office/drawing/2014/main" id="{CE88B70A-36F9-4192-9BC3-807FC3534B6A}"/>
                </a:ext>
              </a:extLst>
            </xdr:cNvPr>
            <xdr:cNvGraphicFramePr>
              <a:graphicFrameLocks/>
            </xdr:cNvGraphicFramePr>
          </xdr:nvGraphicFramePr>
          <xdr:xfrm>
            <a:off x="15382876" y="5302249"/>
            <a:ext cx="5461000" cy="4560795"/>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1" name="Chart 40">
              <a:extLst>
                <a:ext uri="{FF2B5EF4-FFF2-40B4-BE49-F238E27FC236}">
                  <a16:creationId xmlns:a16="http://schemas.microsoft.com/office/drawing/2014/main" id="{0D09B952-0311-49FF-8A25-4A3FD721AC6C}"/>
                </a:ext>
              </a:extLst>
            </xdr:cNvPr>
            <xdr:cNvGraphicFramePr>
              <a:graphicFrameLocks/>
            </xdr:cNvGraphicFramePr>
          </xdr:nvGraphicFramePr>
          <xdr:xfrm>
            <a:off x="4195535" y="984250"/>
            <a:ext cx="6472465" cy="3143249"/>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a14="http://schemas.microsoft.com/office/drawing/2010/main" Requires="a14">
            <xdr:graphicFrame macro="">
              <xdr:nvGraphicFramePr>
                <xdr:cNvPr id="42" name="region 1">
                  <a:extLst>
                    <a:ext uri="{FF2B5EF4-FFF2-40B4-BE49-F238E27FC236}">
                      <a16:creationId xmlns:a16="http://schemas.microsoft.com/office/drawing/2014/main" id="{DB4B8594-6819-4CD9-9403-434BA640F303}"/>
                    </a:ext>
                  </a:extLst>
                </xdr:cNvPr>
                <xdr:cNvGraphicFramePr/>
              </xdr:nvGraphicFramePr>
              <xdr:xfrm>
                <a:off x="17351375" y="3413126"/>
                <a:ext cx="1759860" cy="180975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351375" y="3413126"/>
                  <a:ext cx="175986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3" name="business_model 1">
                  <a:extLst>
                    <a:ext uri="{FF2B5EF4-FFF2-40B4-BE49-F238E27FC236}">
                      <a16:creationId xmlns:a16="http://schemas.microsoft.com/office/drawing/2014/main" id="{B75362DB-7ABE-427A-8C41-2C528A04875E}"/>
                    </a:ext>
                  </a:extLst>
                </xdr:cNvPr>
                <xdr:cNvGraphicFramePr/>
              </xdr:nvGraphicFramePr>
              <xdr:xfrm>
                <a:off x="19129374" y="369660"/>
                <a:ext cx="1768185" cy="1233715"/>
              </xdr:xfrm>
              <a:graphic>
                <a:graphicData uri="http://schemas.microsoft.com/office/drawing/2010/slicer">
                  <sle:slicer xmlns:sle="http://schemas.microsoft.com/office/drawing/2010/slicer" name="business_model 1"/>
                </a:graphicData>
              </a:graphic>
            </xdr:graphicFrame>
          </mc:Choice>
          <mc:Fallback>
            <xdr:sp macro="" textlink="">
              <xdr:nvSpPr>
                <xdr:cNvPr id="0" name=""/>
                <xdr:cNvSpPr>
                  <a:spLocks noTextEdit="1"/>
                </xdr:cNvSpPr>
              </xdr:nvSpPr>
              <xdr:spPr>
                <a:xfrm>
                  <a:off x="19129374" y="369660"/>
                  <a:ext cx="1768185" cy="1233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5" name="airline_name 1">
                  <a:extLst>
                    <a:ext uri="{FF2B5EF4-FFF2-40B4-BE49-F238E27FC236}">
                      <a16:creationId xmlns:a16="http://schemas.microsoft.com/office/drawing/2014/main" id="{52775ACA-FB61-4B9F-9797-1771E4040AEA}"/>
                    </a:ext>
                  </a:extLst>
                </xdr:cNvPr>
                <xdr:cNvGraphicFramePr/>
              </xdr:nvGraphicFramePr>
              <xdr:xfrm>
                <a:off x="17351374" y="365127"/>
                <a:ext cx="1746249" cy="3016248"/>
              </xdr:xfrm>
              <a:graphic>
                <a:graphicData uri="http://schemas.microsoft.com/office/drawing/2010/slicer">
                  <sle:slicer xmlns:sle="http://schemas.microsoft.com/office/drawing/2010/slicer" name="airline_name 1"/>
                </a:graphicData>
              </a:graphic>
            </xdr:graphicFrame>
          </mc:Choice>
          <mc:Fallback>
            <xdr:sp macro="" textlink="">
              <xdr:nvSpPr>
                <xdr:cNvPr id="0" name=""/>
                <xdr:cNvSpPr>
                  <a:spLocks noTextEdit="1"/>
                </xdr:cNvSpPr>
              </xdr:nvSpPr>
              <xdr:spPr>
                <a:xfrm>
                  <a:off x="17351374" y="365127"/>
                  <a:ext cx="1746249" cy="3016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6" name="year 1">
                  <a:extLst>
                    <a:ext uri="{FF2B5EF4-FFF2-40B4-BE49-F238E27FC236}">
                      <a16:creationId xmlns:a16="http://schemas.microsoft.com/office/drawing/2014/main" id="{09A1068B-B1DE-453A-A026-D595E94A81EE}"/>
                    </a:ext>
                  </a:extLst>
                </xdr:cNvPr>
                <xdr:cNvGraphicFramePr/>
              </xdr:nvGraphicFramePr>
              <xdr:xfrm>
                <a:off x="19129376" y="3159126"/>
                <a:ext cx="1762126" cy="2079624"/>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9129376" y="3159126"/>
                  <a:ext cx="1762126" cy="2079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7" name="Rectangle: Rounded Corners 46">
              <a:extLst>
                <a:ext uri="{FF2B5EF4-FFF2-40B4-BE49-F238E27FC236}">
                  <a16:creationId xmlns:a16="http://schemas.microsoft.com/office/drawing/2014/main" id="{5CF40CFF-889C-B904-E8E7-A55FA08DCB96}"/>
                </a:ext>
              </a:extLst>
            </xdr:cNvPr>
            <xdr:cNvSpPr/>
          </xdr:nvSpPr>
          <xdr:spPr>
            <a:xfrm>
              <a:off x="13096875" y="396875"/>
              <a:ext cx="4165600" cy="517525"/>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4">
                      <a:lumMod val="50000"/>
                    </a:schemeClr>
                  </a:solidFill>
                </a:rPr>
                <a:t>Aviation 2010 - 2026</a:t>
              </a:r>
              <a:r>
                <a:rPr lang="en-IN" sz="2000" b="1" baseline="0">
                  <a:solidFill>
                    <a:schemeClr val="accent4">
                      <a:lumMod val="50000"/>
                    </a:schemeClr>
                  </a:solidFill>
                </a:rPr>
                <a:t> Data Analysis </a:t>
              </a:r>
              <a:endParaRPr lang="en-IN" sz="2000" b="1">
                <a:solidFill>
                  <a:schemeClr val="accent4">
                    <a:lumMod val="50000"/>
                  </a:schemeClr>
                </a:solidFill>
              </a:endParaRPr>
            </a:p>
          </xdr:txBody>
        </xdr:sp>
        <xdr:graphicFrame macro="">
          <xdr:nvGraphicFramePr>
            <xdr:cNvPr id="48" name="Chart 47">
              <a:extLst>
                <a:ext uri="{FF2B5EF4-FFF2-40B4-BE49-F238E27FC236}">
                  <a16:creationId xmlns:a16="http://schemas.microsoft.com/office/drawing/2014/main" id="{4E60803A-0845-42E6-8667-FBC35E037C34}"/>
                </a:ext>
              </a:extLst>
            </xdr:cNvPr>
            <xdr:cNvGraphicFramePr>
              <a:graphicFrameLocks/>
            </xdr:cNvGraphicFramePr>
          </xdr:nvGraphicFramePr>
          <xdr:xfrm>
            <a:off x="15239999" y="4127500"/>
            <a:ext cx="2047875" cy="1111250"/>
          </xdr:xfrm>
          <a:graphic>
            <a:graphicData uri="http://schemas.openxmlformats.org/drawingml/2006/chart">
              <c:chart xmlns:c="http://schemas.openxmlformats.org/drawingml/2006/chart" xmlns:r="http://schemas.openxmlformats.org/officeDocument/2006/relationships" r:id="rId10"/>
            </a:graphicData>
          </a:graphic>
        </xdr:graphicFrame>
      </xdr:grpSp>
      <mc:AlternateContent xmlns:mc="http://schemas.openxmlformats.org/markup-compatibility/2006">
        <mc:Choice xmlns:a14="http://schemas.microsoft.com/office/drawing/2010/main" Requires="a14">
          <xdr:graphicFrame macro="">
            <xdr:nvGraphicFramePr>
              <xdr:cNvPr id="52" name="manufacturer 2">
                <a:extLst>
                  <a:ext uri="{FF2B5EF4-FFF2-40B4-BE49-F238E27FC236}">
                    <a16:creationId xmlns:a16="http://schemas.microsoft.com/office/drawing/2014/main" id="{6A545022-7F58-470E-8F91-106F9BFC890F}"/>
                  </a:ext>
                </a:extLst>
              </xdr:cNvPr>
              <xdr:cNvGraphicFramePr/>
            </xdr:nvGraphicFramePr>
            <xdr:xfrm>
              <a:off x="19129375" y="1619252"/>
              <a:ext cx="1807153" cy="1508124"/>
            </xdr:xfrm>
            <a:graphic>
              <a:graphicData uri="http://schemas.microsoft.com/office/drawing/2010/slicer">
                <sle:slicer xmlns:sle="http://schemas.microsoft.com/office/drawing/2010/slicer" name="manufacturer 2"/>
              </a:graphicData>
            </a:graphic>
          </xdr:graphicFrame>
        </mc:Choice>
        <mc:Fallback>
          <xdr:sp macro="" textlink="">
            <xdr:nvSpPr>
              <xdr:cNvPr id="0" name=""/>
              <xdr:cNvSpPr>
                <a:spLocks noTextEdit="1"/>
              </xdr:cNvSpPr>
            </xdr:nvSpPr>
            <xdr:spPr>
              <a:xfrm>
                <a:off x="19129375" y="1619252"/>
                <a:ext cx="1807153" cy="1508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pert" refreshedDate="46234.706089120373" createdVersion="8" refreshedVersion="8" minRefreshableVersion="3" recordCount="40" xr:uid="{0E6F7F78-CA67-4B71-BE3A-A4D53A3D34B9}">
  <cacheSource type="worksheet">
    <worksheetSource name="tbl_aviation_incidents"/>
  </cacheSource>
  <cacheFields count="16">
    <cacheField name="incident_id" numFmtId="0">
      <sharedItems/>
    </cacheField>
    <cacheField name="date" numFmtId="14">
      <sharedItems containsSemiMixedTypes="0" containsNonDate="0" containsDate="1" containsString="0" minDate="2010-04-10T00:00:00" maxDate="2026-02-16T00:00:00"/>
    </cacheField>
    <cacheField name="year" numFmtId="0">
      <sharedItems containsSemiMixedTypes="0" containsString="0" containsNumber="1" containsInteger="1" minValue="2010" maxValue="2026" count="17">
        <n v="2010"/>
        <n v="2011"/>
        <n v="2012"/>
        <n v="2013"/>
        <n v="2014"/>
        <n v="2015"/>
        <n v="2016"/>
        <n v="2017"/>
        <n v="2018"/>
        <n v="2019"/>
        <n v="2020"/>
        <n v="2021"/>
        <n v="2022"/>
        <n v="2023"/>
        <n v="2024"/>
        <n v="2025"/>
        <n v="2026"/>
      </sharedItems>
    </cacheField>
    <cacheField name="month" numFmtId="0">
      <sharedItems containsSemiMixedTypes="0" containsString="0" containsNumber="1" containsInteger="1" minValue="1" maxValue="12"/>
    </cacheField>
    <cacheField name="flight_number" numFmtId="0">
      <sharedItems/>
    </cacheField>
    <cacheField name="airline" numFmtId="0">
      <sharedItems count="37">
        <s v="Polish AF"/>
        <s v="Air India Express"/>
        <s v="Hewa Bora Airways"/>
        <s v="Bhoja Air"/>
        <s v="Asiana Airlines"/>
        <s v="Malaysia Airlines"/>
        <s v="TransAsia Airways"/>
        <s v="AirAsia"/>
        <s v="Germanwings"/>
        <s v="Metrojet"/>
        <s v="FlyDubai"/>
        <s v="EgyptAir"/>
        <s v="United Airlines"/>
        <s v="Southwest"/>
        <s v="Lion Air"/>
        <s v="Ethiopian Airlines"/>
        <s v="Aeroflot"/>
        <s v="Ural Airlines"/>
        <s v="Ukraine Intl"/>
        <s v="Pakistan Intl"/>
        <s v="Sriwijaya Air"/>
        <s v="Ryanair"/>
        <s v="Houthi attacks"/>
        <s v="China Eastern"/>
        <s v="Various"/>
        <s v="Aeroflot Various"/>
        <s v="Air India"/>
        <s v="FedEx"/>
        <s v="Japan Airlines"/>
        <s v="Alaska Airlines"/>
        <s v="Voepass"/>
        <s v="Azerbaijan Airlines"/>
        <s v="Jeju Air"/>
        <s v="American/PSA"/>
        <s v="Delta Endeavor"/>
        <s v="British Airways"/>
        <s v="Emirates"/>
      </sharedItems>
    </cacheField>
    <cacheField name="aircraft_type" numFmtId="0">
      <sharedItems/>
    </cacheField>
    <cacheField name="severity" numFmtId="0">
      <sharedItems/>
    </cacheField>
    <cacheField name="fatalities" numFmtId="0">
      <sharedItems containsSemiMixedTypes="0" containsString="0" containsNumber="1" containsInteger="1" minValue="0" maxValue="298"/>
    </cacheField>
    <cacheField name="location" numFmtId="0">
      <sharedItems/>
    </cacheField>
    <cacheField name="description" numFmtId="0">
      <sharedItems/>
    </cacheField>
    <cacheField name="is_fatal" numFmtId="0">
      <sharedItems containsSemiMixedTypes="0" containsString="0" containsNumber="1" containsInteger="1" minValue="0" maxValue="1"/>
    </cacheField>
    <cacheField name="is_geopolitical" numFmtId="0">
      <sharedItems containsSemiMixedTypes="0" containsString="0" containsNumber="1" containsInteger="1" minValue="0" maxValue="1"/>
    </cacheField>
    <cacheField name="is_boeing" numFmtId="0">
      <sharedItems containsSemiMixedTypes="0" containsString="0" containsNumber="1" containsInteger="1" minValue="0" maxValue="1"/>
    </cacheField>
    <cacheField name="is_airbus" numFmtId="0">
      <sharedItems containsSemiMixedTypes="0" containsString="0" containsNumber="1" containsInteger="1" minValue="0" maxValue="1"/>
    </cacheField>
    <cacheField name="manufacturer" numFmtId="0">
      <sharedItems count="3">
        <s v="Other"/>
        <s v="Boeing"/>
        <s v="Airbu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pert" refreshedDate="46234.706089467596" createdVersion="8" refreshedVersion="8" minRefreshableVersion="3" recordCount="400" xr:uid="{0C4723B9-37A3-45BA-AF0E-D3B55F86E6A0}">
  <cacheSource type="worksheet">
    <worksheetSource name="tbl_route_performance"/>
  </cacheSource>
  <cacheFields count="11">
    <cacheField name="year" numFmtId="0">
      <sharedItems containsSemiMixedTypes="0" containsString="0" containsNumber="1" containsInteger="1" minValue="2015" maxValue="2026"/>
    </cacheField>
    <cacheField name="route" numFmtId="0">
      <sharedItems count="40">
        <s v="Jeju-Seoul"/>
        <s v="Tokyo-Sapporo"/>
        <s v="Melbourne-Sydney"/>
        <s v="Mumbai-Delhi"/>
        <s v="Beijing-Shanghai"/>
        <s v="Hong Kong-Taipei"/>
        <s v="Singapore-Kuala Lumpur"/>
        <s v="Dubai-London"/>
        <s v="Dubai-Mumbai"/>
        <s v="Doha-London"/>
        <s v="Istanbul-London"/>
        <s v="London-New York"/>
        <s v="London-Paris"/>
        <s v="Frankfurt-New York"/>
        <s v="Madrid-Buenos Aires"/>
        <s v="Paris-Dubai"/>
        <s v="Atlanta-Los Angeles"/>
        <s v="New York-Los Angeles"/>
        <s v="Chicago-New York"/>
        <s v="Toronto-Vancouver"/>
        <s v="Mexico City-Cancun"/>
        <s v="Sao Paulo-Rio"/>
        <s v="Bogota-Lima"/>
        <s v="Tokyo-Honolulu"/>
        <s v="Los Angeles-Sydney"/>
        <s v="Hong Kong-San Francisco"/>
        <s v="Seoul-Los Angeles"/>
        <s v="Johannesburg-London"/>
        <s v="Cairo-Riyadh"/>
        <s v="Lagos-London"/>
        <s v="Mumbai-London"/>
        <s v="Frankfurt-Singapore"/>
        <s v="Amsterdam-Bangkok"/>
        <s v="Seoul-Tokyo"/>
        <s v="Bangkok-Singapore"/>
        <s v="Sydney-Auckland"/>
        <s v="Moscow-Sochi"/>
        <s v="Istanbul-Antalya"/>
        <s v="Tokyo-Singapore"/>
        <s v="New York-Miami"/>
      </sharedItems>
    </cacheField>
    <cacheField name="origin_iata" numFmtId="0">
      <sharedItems/>
    </cacheField>
    <cacheField name="destination_iata" numFmtId="0">
      <sharedItems/>
    </cacheField>
    <cacheField name="distance_km" numFmtId="0">
      <sharedItems containsSemiMixedTypes="0" containsString="0" containsNumber="1" containsInteger="1" minValue="297" maxValue="12057"/>
    </cacheField>
    <cacheField name="region" numFmtId="0">
      <sharedItems/>
    </cacheField>
    <cacheField name="main_airlines" numFmtId="0">
      <sharedItems/>
    </cacheField>
    <cacheField name="annual_passengers_m" numFmtId="0">
      <sharedItems containsSemiMixedTypes="0" containsString="0" containsNumber="1" minValue="0.33" maxValue="12.5"/>
    </cacheField>
    <cacheField name="avg_fare_usd" numFmtId="0">
      <sharedItems containsSemiMixedTypes="0" containsString="0" containsNumber="1" containsInteger="1" minValue="19" maxValue="563"/>
    </cacheField>
    <cacheField name="weekly_frequency_est" numFmtId="0">
      <sharedItems containsSemiMixedTypes="0" containsString="0" containsNumber="1" containsInteger="1" minValue="1" maxValue="37"/>
    </cacheField>
    <cacheField name="annual_revenue_usd_m" numFmtId="0">
      <sharedItems containsSemiMixedTypes="0" containsString="0" containsNumber="1" minValue="25.5" maxValue="1413.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pert" refreshedDate="46234.706090277781" createdVersion="8" refreshedVersion="8" minRefreshableVersion="3" recordCount="1176" xr:uid="{C2D6B877-04FD-4E62-8F57-40A67E298B57}">
  <cacheSource type="worksheet">
    <worksheetSource name="tbl_passenger_traffic"/>
  </cacheSource>
  <cacheFields count="10">
    <cacheField name="year_month" numFmtId="14">
      <sharedItems containsSemiMixedTypes="0" containsNonDate="0" containsDate="1" containsString="0" minDate="2010-01-01T00:00:00" maxDate="2026-04-02T00:00:00" count="196">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sharedItems>
      <fieldGroup par="9"/>
    </cacheField>
    <cacheField name="year" numFmtId="0">
      <sharedItems containsSemiMixedTypes="0" containsString="0" containsNumber="1" containsInteger="1" minValue="2010" maxValue="2026"/>
    </cacheField>
    <cacheField name="month" numFmtId="0">
      <sharedItems containsSemiMixedTypes="0" containsString="0" containsNumber="1" containsInteger="1" minValue="1" maxValue="12"/>
    </cacheField>
    <cacheField name="region" numFmtId="0">
      <sharedItems count="6">
        <s v="North America"/>
        <s v="Europe"/>
        <s v="Asia Pacific"/>
        <s v="Middle East"/>
        <s v="Latin America"/>
        <s v="Africa"/>
      </sharedItems>
    </cacheField>
    <cacheField name="rpk_billions" numFmtId="0">
      <sharedItems containsSemiMixedTypes="0" containsString="0" containsNumber="1" minValue="0.5" maxValue="198.72"/>
    </cacheField>
    <cacheField name="ask_billions" numFmtId="0">
      <sharedItems containsSemiMixedTypes="0" containsString="0" containsNumber="1" minValue="0.91" maxValue="248.76"/>
    </cacheField>
    <cacheField name="load_factor_pct" numFmtId="0">
      <sharedItems containsSemiMixedTypes="0" containsString="0" containsNumber="1" minValue="55" maxValue="87.8"/>
    </cacheField>
    <cacheField name="Months (year_month)" numFmtId="0" databaseField="0">
      <fieldGroup base="0">
        <rangePr groupBy="months" startDate="2010-01-01T00:00:00" endDate="2026-04-02T00:00:00"/>
        <groupItems count="14">
          <s v="&lt;1/1/2010"/>
          <s v="Jan"/>
          <s v="Feb"/>
          <s v="Mar"/>
          <s v="Apr"/>
          <s v="May"/>
          <s v="Jun"/>
          <s v="Jul"/>
          <s v="Aug"/>
          <s v="Sep"/>
          <s v="Oct"/>
          <s v="Nov"/>
          <s v="Dec"/>
          <s v="&gt;4/2/2026"/>
        </groupItems>
      </fieldGroup>
    </cacheField>
    <cacheField name="Quarters (year_month)" numFmtId="0" databaseField="0">
      <fieldGroup base="0">
        <rangePr groupBy="quarters" startDate="2010-01-01T00:00:00" endDate="2026-04-02T00:00:00"/>
        <groupItems count="6">
          <s v="&lt;1/1/2010"/>
          <s v="Qtr1"/>
          <s v="Qtr2"/>
          <s v="Qtr3"/>
          <s v="Qtr4"/>
          <s v="&gt;4/2/2026"/>
        </groupItems>
      </fieldGroup>
    </cacheField>
    <cacheField name="Years (year_month)" numFmtId="0" databaseField="0">
      <fieldGroup base="0">
        <rangePr groupBy="years" startDate="2010-01-01T00:00:00" endDate="2026-04-02T00:00:00"/>
        <groupItems count="19">
          <s v="&lt;1/1/2010"/>
          <s v="2010"/>
          <s v="2011"/>
          <s v="2012"/>
          <s v="2013"/>
          <s v="2014"/>
          <s v="2015"/>
          <s v="2016"/>
          <s v="2017"/>
          <s v="2018"/>
          <s v="2019"/>
          <s v="2020"/>
          <s v="2021"/>
          <s v="2022"/>
          <s v="2023"/>
          <s v="2024"/>
          <s v="2025"/>
          <s v="2026"/>
          <s v="&gt;4/2/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pert" refreshedDate="46234.706090740743" createdVersion="8" refreshedVersion="8" minRefreshableVersion="3" recordCount="86" xr:uid="{BA9DAEFA-2358-4C43-94B1-78ED913C468A}">
  <cacheSource type="worksheet">
    <worksheetSource name="tbl_fleet_orders"/>
  </cacheSource>
  <cacheFields count="10">
    <cacheField name="year" numFmtId="0">
      <sharedItems containsSemiMixedTypes="0" containsString="0" containsNumber="1" containsInteger="1" minValue="2010" maxValue="2026" count="17">
        <n v="2010"/>
        <n v="2011"/>
        <n v="2012"/>
        <n v="2013"/>
        <n v="2014"/>
        <n v="2015"/>
        <n v="2016"/>
        <n v="2017"/>
        <n v="2018"/>
        <n v="2019"/>
        <n v="2020"/>
        <n v="2021"/>
        <n v="2022"/>
        <n v="2023"/>
        <n v="2024"/>
        <n v="2025"/>
        <n v="2026"/>
      </sharedItems>
    </cacheField>
    <cacheField name="manufacturer" numFmtId="0">
      <sharedItems count="4">
        <s v="Airbus"/>
        <s v="Boeing"/>
        <s v="COMAC"/>
        <s v="Embraer"/>
      </sharedItems>
    </cacheField>
    <cacheField name="aircraft_family" numFmtId="0">
      <sharedItems count="6">
        <s v="A320 family"/>
        <s v="A330/340/350/380"/>
        <s v="737"/>
        <s v="747/767/777/787"/>
        <s v="C919"/>
        <s v="E-Jet/E2"/>
      </sharedItems>
    </cacheField>
    <cacheField name="orders_gross" numFmtId="0">
      <sharedItems containsSemiMixedTypes="0" containsString="0" containsNumber="1" containsInteger="1" minValue="0" maxValue="1835"/>
    </cacheField>
    <cacheField name="orders_net" numFmtId="0">
      <sharedItems containsSemiMixedTypes="0" containsString="0" containsNumber="1" containsInteger="1" minValue="-1026" maxValue="1835"/>
    </cacheField>
    <cacheField name="deliveries" numFmtId="0">
      <sharedItems containsSemiMixedTypes="0" containsString="0" containsNumber="1" containsInteger="1" minValue="0" maxValue="690"/>
    </cacheField>
    <cacheField name="backlog_end_of_year" numFmtId="0">
      <sharedItems containsSemiMixedTypes="0" containsString="0" containsNumber="1" containsInteger="1" minValue="314" maxValue="9071"/>
    </cacheField>
    <cacheField name="is_widebody" numFmtId="0">
      <sharedItems containsSemiMixedTypes="0" containsString="0" containsNumber="1" containsInteger="1" minValue="0" maxValue="1"/>
    </cacheField>
    <cacheField name="is_narrowbody" numFmtId="0">
      <sharedItems containsSemiMixedTypes="0" containsString="0" containsNumber="1" containsInteger="1" minValue="0" maxValue="1"/>
    </cacheField>
    <cacheField name="is_regional"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4871563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pert" refreshedDate="46234.706092361113" createdVersion="8" refreshedVersion="8" minRefreshableVersion="3" recordCount="497" xr:uid="{A1B592F8-47ED-4106-BEC1-924DB228CB5F}">
  <cacheSource type="worksheet">
    <worksheetSource name="tbl_airline_financials"/>
  </cacheSource>
  <cacheFields count="12">
    <cacheField name="year" numFmtId="0">
      <sharedItems containsSemiMixedTypes="0" containsString="0" containsNumber="1" containsInteger="1" minValue="2010" maxValue="2026" count="17">
        <n v="2010"/>
        <n v="2011"/>
        <n v="2012"/>
        <n v="2013"/>
        <n v="2014"/>
        <n v="2015"/>
        <n v="2016"/>
        <n v="2017"/>
        <n v="2018"/>
        <n v="2019"/>
        <n v="2020"/>
        <n v="2021"/>
        <n v="2022"/>
        <n v="2023"/>
        <n v="2024"/>
        <n v="2025"/>
        <n v="2026"/>
      </sharedItems>
    </cacheField>
    <cacheField name="airline_name" numFmtId="0">
      <sharedItems count="30">
        <s v="Delta Air Lines"/>
        <s v="United Airlines"/>
        <s v="American Airlines"/>
        <s v="Southwest Airlines"/>
        <s v="Alaska Airlines"/>
        <s v="JetBlue"/>
        <s v="Lufthansa Group"/>
        <s v="IAG (British Airways)"/>
        <s v="Air France-KLM"/>
        <s v="Ryanair"/>
        <s v="easyJet"/>
        <s v="Turkish Airlines"/>
        <s v="Aeroflot"/>
        <s v="China Southern"/>
        <s v="Air China"/>
        <s v="China Eastern"/>
        <s v="Japan Airlines"/>
        <s v="ANA Holdings"/>
        <s v="Singapore Airlines"/>
        <s v="Cathay Pacific"/>
        <s v="Korean Air"/>
        <s v="IndiGo"/>
        <s v="AirAsia"/>
        <s v="Emirates"/>
        <s v="Qatar Airways"/>
        <s v="Etihad"/>
        <s v="Saudia"/>
        <s v="Riyadh Air"/>
        <s v="LATAM Airlines"/>
        <s v="Azul"/>
      </sharedItems>
    </cacheField>
    <cacheField name="iata_code" numFmtId="0">
      <sharedItems/>
    </cacheField>
    <cacheField name="country_iso3" numFmtId="0">
      <sharedItems/>
    </cacheField>
    <cacheField name="region" numFmtId="0">
      <sharedItems count="5">
        <s v="North America"/>
        <s v="Europe"/>
        <s v="Asia"/>
        <s v="Middle East"/>
        <s v="Latin America"/>
      </sharedItems>
    </cacheField>
    <cacheField name="business_model" numFmtId="0">
      <sharedItems count="3">
        <s v="legacy"/>
        <s v="low_cost"/>
        <s v="regional"/>
      </sharedItems>
    </cacheField>
    <cacheField name="revenue_usd_bn" numFmtId="0">
      <sharedItems containsSemiMixedTypes="0" containsString="0" containsNumber="1" minValue="0.01" maxValue="68.38"/>
    </cacheField>
    <cacheField name="operating_margin_pct" numFmtId="0">
      <sharedItems containsSemiMixedTypes="0" containsString="0" containsNumber="1" minValue="1.1000000000000001" maxValue="8.8000000000000007"/>
    </cacheField>
    <cacheField name="operating_income_usd_bn" numFmtId="0">
      <sharedItems containsSemiMixedTypes="0" containsString="0" containsNumber="1" minValue="-6.57" maxValue="6.59"/>
    </cacheField>
    <cacheField name="passengers_carried_m" numFmtId="0">
      <sharedItems containsSemiMixedTypes="0" containsString="0" containsNumber="1" minValue="0" maxValue="129.30000000000001"/>
    </cacheField>
    <cacheField name="load_factor_pct" numFmtId="0">
      <sharedItems containsSemiMixedTypes="0" containsString="0" containsNumber="1" minValue="50.7" maxValue="92.8"/>
    </cacheField>
    <cacheField name="fleet_size_est" numFmtId="0">
      <sharedItems containsSemiMixedTypes="0" containsString="0" containsNumber="1" containsInteger="1" minValue="0" maxValue="341"/>
    </cacheField>
  </cacheFields>
  <extLst>
    <ext xmlns:x14="http://schemas.microsoft.com/office/spreadsheetml/2009/9/main" uri="{725AE2AE-9491-48be-B2B4-4EB974FC3084}">
      <x14:pivotCacheDefinition pivotCacheId="1927095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AV001"/>
    <d v="2010-04-10T00:00:00"/>
    <x v="0"/>
    <n v="4"/>
    <s v="PLF101"/>
    <x v="0"/>
    <s v="Tu-154"/>
    <s v="fatal_crash"/>
    <n v="96"/>
    <s v="Smolensk, Russia"/>
    <s v="Polish presidential plane crash"/>
    <n v="1"/>
    <n v="0"/>
    <n v="0"/>
    <n v="0"/>
    <x v="0"/>
  </r>
  <r>
    <s v="AV002"/>
    <d v="2010-05-22T00:00:00"/>
    <x v="0"/>
    <n v="5"/>
    <s v="IX812"/>
    <x v="1"/>
    <s v="B737-800"/>
    <s v="fatal_crash"/>
    <n v="158"/>
    <s v="Mangalore, India"/>
    <s v="Runway overrun"/>
    <n v="1"/>
    <n v="0"/>
    <n v="1"/>
    <n v="0"/>
    <x v="1"/>
  </r>
  <r>
    <s v="AV003"/>
    <d v="2011-07-08T00:00:00"/>
    <x v="1"/>
    <n v="7"/>
    <s v="PIA8264"/>
    <x v="2"/>
    <s v="B727"/>
    <s v="fatal_crash"/>
    <n v="81"/>
    <s v="Kisangani, DRC"/>
    <s v="Severe weather landing"/>
    <n v="1"/>
    <n v="0"/>
    <n v="1"/>
    <n v="0"/>
    <x v="1"/>
  </r>
  <r>
    <s v="AV004"/>
    <d v="2012-04-20T00:00:00"/>
    <x v="2"/>
    <n v="4"/>
    <s v="BSC213"/>
    <x v="3"/>
    <s v="B737-200"/>
    <s v="fatal_crash"/>
    <n v="127"/>
    <s v="Islamabad, Pakistan"/>
    <s v="Crashed near airport"/>
    <n v="1"/>
    <n v="0"/>
    <n v="1"/>
    <n v="0"/>
    <x v="1"/>
  </r>
  <r>
    <s v="AV005"/>
    <d v="2013-07-06T00:00:00"/>
    <x v="3"/>
    <n v="7"/>
    <s v="OZ214"/>
    <x v="4"/>
    <s v="B777-200"/>
    <s v="fatal_crash"/>
    <n v="3"/>
    <s v="San Francisco, USA"/>
    <s v="Hard landing short of runway"/>
    <n v="1"/>
    <n v="0"/>
    <n v="1"/>
    <n v="0"/>
    <x v="1"/>
  </r>
  <r>
    <s v="AV006"/>
    <d v="2014-03-08T00:00:00"/>
    <x v="4"/>
    <n v="3"/>
    <s v="MH370"/>
    <x v="5"/>
    <s v="B777-200"/>
    <s v="fatal_crash"/>
    <n v="239"/>
    <s v="Indian Ocean"/>
    <s v="Disappeared, never found"/>
    <n v="1"/>
    <n v="0"/>
    <n v="1"/>
    <n v="0"/>
    <x v="1"/>
  </r>
  <r>
    <s v="AV007"/>
    <d v="2014-07-17T00:00:00"/>
    <x v="4"/>
    <n v="7"/>
    <s v="MH17"/>
    <x v="5"/>
    <s v="B777-200"/>
    <s v="fatal_crash"/>
    <n v="298"/>
    <s v="Eastern Ukraine"/>
    <s v="Shot down by missile"/>
    <n v="1"/>
    <n v="1"/>
    <n v="1"/>
    <n v="0"/>
    <x v="1"/>
  </r>
  <r>
    <s v="AV008"/>
    <d v="2014-07-23T00:00:00"/>
    <x v="4"/>
    <n v="7"/>
    <s v="GE222"/>
    <x v="6"/>
    <s v="ATR 72"/>
    <s v="fatal_crash"/>
    <n v="48"/>
    <s v="Magong, Taiwan"/>
    <s v="Typhoon weather"/>
    <n v="1"/>
    <n v="0"/>
    <n v="0"/>
    <n v="0"/>
    <x v="0"/>
  </r>
  <r>
    <s v="AV009"/>
    <d v="2014-12-28T00:00:00"/>
    <x v="4"/>
    <n v="12"/>
    <s v="QZ8501"/>
    <x v="7"/>
    <s v="A320"/>
    <s v="fatal_crash"/>
    <n v="162"/>
    <s v="Java Sea"/>
    <s v="Aerodynamic stall in storm"/>
    <n v="1"/>
    <n v="0"/>
    <n v="0"/>
    <n v="1"/>
    <x v="2"/>
  </r>
  <r>
    <s v="AV010"/>
    <d v="2015-03-24T00:00:00"/>
    <x v="5"/>
    <n v="3"/>
    <s v="4U9525"/>
    <x v="8"/>
    <s v="A320"/>
    <s v="fatal_crash"/>
    <n v="150"/>
    <s v="French Alps"/>
    <s v="Co-pilot deliberate crash"/>
    <n v="1"/>
    <n v="0"/>
    <n v="0"/>
    <n v="1"/>
    <x v="2"/>
  </r>
  <r>
    <s v="AV011"/>
    <d v="2015-10-31T00:00:00"/>
    <x v="5"/>
    <n v="10"/>
    <s v="7K9268"/>
    <x v="9"/>
    <s v="A321"/>
    <s v="fatal_crash"/>
    <n v="224"/>
    <s v="Sinai, Egypt"/>
    <s v="Bomb explosion"/>
    <n v="1"/>
    <n v="0"/>
    <n v="0"/>
    <n v="1"/>
    <x v="2"/>
  </r>
  <r>
    <s v="AV012"/>
    <d v="2016-03-19T00:00:00"/>
    <x v="6"/>
    <n v="3"/>
    <s v="FZ981"/>
    <x v="10"/>
    <s v="B737-800"/>
    <s v="fatal_crash"/>
    <n v="62"/>
    <s v="Rostov-on-Don, Russia"/>
    <s v="Go-around crash"/>
    <n v="1"/>
    <n v="0"/>
    <n v="1"/>
    <n v="0"/>
    <x v="1"/>
  </r>
  <r>
    <s v="AV013"/>
    <d v="2016-05-19T00:00:00"/>
    <x v="6"/>
    <n v="5"/>
    <s v="MS804"/>
    <x v="11"/>
    <s v="A320"/>
    <s v="fatal_crash"/>
    <n v="66"/>
    <s v="Mediterranean Sea"/>
    <s v="Cockpit fire suspected"/>
    <n v="1"/>
    <n v="0"/>
    <n v="0"/>
    <n v="1"/>
    <x v="2"/>
  </r>
  <r>
    <s v="AV014"/>
    <d v="2017-04-09T00:00:00"/>
    <x v="7"/>
    <n v="4"/>
    <s v="UA3411"/>
    <x v="12"/>
    <s v="B737-800"/>
    <s v="incident"/>
    <n v="0"/>
    <s v="Chicago, USA"/>
    <s v="Dr. Dao forcibly removed"/>
    <n v="0"/>
    <n v="0"/>
    <n v="1"/>
    <n v="0"/>
    <x v="1"/>
  </r>
  <r>
    <s v="AV015"/>
    <d v="2018-04-17T00:00:00"/>
    <x v="8"/>
    <n v="4"/>
    <s v="WN1380"/>
    <x v="13"/>
    <s v="B737-700"/>
    <s v="incident_fatal"/>
    <n v="1"/>
    <s v="Philadelphia, USA"/>
    <s v="Engine fan blade failure"/>
    <n v="1"/>
    <n v="0"/>
    <n v="1"/>
    <n v="0"/>
    <x v="1"/>
  </r>
  <r>
    <s v="AV016"/>
    <d v="2018-10-29T00:00:00"/>
    <x v="8"/>
    <n v="10"/>
    <s v="JT610"/>
    <x v="14"/>
    <s v="B737 MAX 8"/>
    <s v="fatal_crash"/>
    <n v="189"/>
    <s v="Java Sea"/>
    <s v="MCAS malfunction, first 737 MAX crash"/>
    <n v="1"/>
    <n v="0"/>
    <n v="1"/>
    <n v="0"/>
    <x v="1"/>
  </r>
  <r>
    <s v="AV017"/>
    <d v="2019-03-10T00:00:00"/>
    <x v="9"/>
    <n v="3"/>
    <s v="ET302"/>
    <x v="15"/>
    <s v="B737 MAX 8"/>
    <s v="fatal_crash"/>
    <n v="157"/>
    <s v="Bishoftu, Ethiopia"/>
    <s v="MCAS malfunction, 2nd 737 MAX crash → grounding"/>
    <n v="1"/>
    <n v="0"/>
    <n v="1"/>
    <n v="0"/>
    <x v="1"/>
  </r>
  <r>
    <s v="AV018"/>
    <d v="2019-05-05T00:00:00"/>
    <x v="9"/>
    <n v="5"/>
    <s v="SU1492"/>
    <x v="16"/>
    <s v="SSJ100"/>
    <s v="fatal_crash"/>
    <n v="41"/>
    <s v="Moscow, Russia"/>
    <s v="Hard landing, fuel fire"/>
    <n v="1"/>
    <n v="0"/>
    <n v="0"/>
    <n v="0"/>
    <x v="0"/>
  </r>
  <r>
    <s v="AV019"/>
    <d v="2019-08-15T00:00:00"/>
    <x v="9"/>
    <n v="8"/>
    <s v="U6178"/>
    <x v="17"/>
    <s v="A321"/>
    <s v="incident"/>
    <n v="0"/>
    <s v="Moscow, Russia"/>
    <s v="Successful cornfield landing (Russian Hudson)"/>
    <n v="0"/>
    <n v="0"/>
    <n v="0"/>
    <n v="1"/>
    <x v="2"/>
  </r>
  <r>
    <s v="AV020"/>
    <d v="2020-01-08T00:00:00"/>
    <x v="10"/>
    <n v="1"/>
    <s v="PS752"/>
    <x v="18"/>
    <s v="B737-800"/>
    <s v="fatal_crash"/>
    <n v="176"/>
    <s v="Tehran, Iran"/>
    <s v="Shot down by IRGC"/>
    <n v="1"/>
    <n v="1"/>
    <n v="1"/>
    <n v="0"/>
    <x v="1"/>
  </r>
  <r>
    <s v="AV021"/>
    <d v="2020-05-22T00:00:00"/>
    <x v="10"/>
    <n v="5"/>
    <s v="PK8303"/>
    <x v="19"/>
    <s v="A320"/>
    <s v="fatal_crash"/>
    <n v="97"/>
    <s v="Karachi, Pakistan"/>
    <s v="Landing gear failure"/>
    <n v="1"/>
    <n v="0"/>
    <n v="0"/>
    <n v="1"/>
    <x v="2"/>
  </r>
  <r>
    <s v="AV022"/>
    <d v="2020-08-07T00:00:00"/>
    <x v="10"/>
    <n v="8"/>
    <s v="IX1344"/>
    <x v="1"/>
    <s v="B737-800"/>
    <s v="fatal_crash"/>
    <n v="21"/>
    <s v="Kozhikode, India"/>
    <s v="Runway overrun in rain"/>
    <n v="1"/>
    <n v="0"/>
    <n v="1"/>
    <n v="0"/>
    <x v="1"/>
  </r>
  <r>
    <s v="AV023"/>
    <d v="2021-01-09T00:00:00"/>
    <x v="11"/>
    <n v="1"/>
    <s v="SJ182"/>
    <x v="20"/>
    <s v="B737-500"/>
    <s v="fatal_crash"/>
    <n v="62"/>
    <s v="Java Sea"/>
    <s v="Crashed after takeoff"/>
    <n v="1"/>
    <n v="0"/>
    <n v="1"/>
    <n v="0"/>
    <x v="1"/>
  </r>
  <r>
    <s v="AV024"/>
    <d v="2021-05-23T00:00:00"/>
    <x v="11"/>
    <n v="5"/>
    <s v="FR4978"/>
    <x v="21"/>
    <s v="B737-800"/>
    <s v="incident"/>
    <n v="0"/>
    <s v="Minsk, Belarus"/>
    <s v="Forced landing by Belarus"/>
    <n v="0"/>
    <n v="0"/>
    <n v="1"/>
    <n v="0"/>
    <x v="1"/>
  </r>
  <r>
    <s v="AV025"/>
    <d v="2022-01-15T00:00:00"/>
    <x v="12"/>
    <n v="1"/>
    <s v="UAEM"/>
    <x v="22"/>
    <s v="various"/>
    <s v="ground_incident"/>
    <n v="3"/>
    <s v="Abu Dhabi, UAE"/>
    <s v="Drone attacks on aviation facilities"/>
    <n v="1"/>
    <n v="1"/>
    <n v="0"/>
    <n v="0"/>
    <x v="0"/>
  </r>
  <r>
    <s v="AV026"/>
    <d v="2022-03-21T00:00:00"/>
    <x v="12"/>
    <n v="3"/>
    <s v="MU5735"/>
    <x v="23"/>
    <s v="B737-800"/>
    <s v="fatal_crash"/>
    <n v="132"/>
    <s v="Wuzhou, China"/>
    <s v="Vertical dive crash"/>
    <n v="1"/>
    <n v="0"/>
    <n v="1"/>
    <n v="0"/>
    <x v="1"/>
  </r>
  <r>
    <s v="AV027"/>
    <d v="2022-07-16T00:00:00"/>
    <x v="12"/>
    <n v="7"/>
    <s v="BSI301"/>
    <x v="24"/>
    <s v="various"/>
    <s v="ground_incident"/>
    <n v="0"/>
    <s v="Various airports"/>
    <s v="Worldwide passport queue crisis"/>
    <n v="0"/>
    <n v="0"/>
    <n v="0"/>
    <n v="0"/>
    <x v="0"/>
  </r>
  <r>
    <s v="AV028"/>
    <d v="2022-11-15T00:00:00"/>
    <x v="12"/>
    <n v="11"/>
    <s v="SU1492"/>
    <x v="25"/>
    <s v="various"/>
    <s v="sanctions_impact"/>
    <n v="0"/>
    <s v="Russia"/>
    <s v="Sanctions cut Aeroflot from MRO services"/>
    <n v="0"/>
    <n v="0"/>
    <n v="0"/>
    <n v="0"/>
    <x v="0"/>
  </r>
  <r>
    <s v="AV029"/>
    <d v="2023-02-04T00:00:00"/>
    <x v="13"/>
    <n v="2"/>
    <s v="AI171"/>
    <x v="26"/>
    <s v="B777"/>
    <s v="near_miss"/>
    <n v="0"/>
    <s v="New York-Delhi"/>
    <s v="Pilot peed on passenger"/>
    <n v="0"/>
    <n v="0"/>
    <n v="1"/>
    <n v="0"/>
    <x v="1"/>
  </r>
  <r>
    <s v="AV030"/>
    <d v="2023-11-29T00:00:00"/>
    <x v="13"/>
    <n v="11"/>
    <s v="FX1180"/>
    <x v="27"/>
    <s v="B767-300F"/>
    <s v="incident"/>
    <n v="0"/>
    <s v="Chattanooga, USA"/>
    <s v="Gear-up landing"/>
    <n v="0"/>
    <n v="0"/>
    <n v="1"/>
    <n v="0"/>
    <x v="1"/>
  </r>
  <r>
    <s v="AV032"/>
    <d v="2024-01-02T00:00:00"/>
    <x v="14"/>
    <n v="1"/>
    <s v="JL516"/>
    <x v="28"/>
    <s v="A350"/>
    <s v="fatal_collision"/>
    <n v="5"/>
    <s v="Tokyo Haneda, Japan"/>
    <s v="Collided with Coast Guard plane"/>
    <n v="1"/>
    <n v="0"/>
    <n v="0"/>
    <n v="1"/>
    <x v="2"/>
  </r>
  <r>
    <s v="AV031"/>
    <d v="2024-01-05T00:00:00"/>
    <x v="14"/>
    <n v="1"/>
    <s v="AS1282"/>
    <x v="29"/>
    <s v="B737 MAX 9"/>
    <s v="incident"/>
    <n v="0"/>
    <s v="Portland, USA"/>
    <s v="Door plug blowout — Boeing crisis intensifies"/>
    <n v="0"/>
    <n v="0"/>
    <n v="1"/>
    <n v="0"/>
    <x v="1"/>
  </r>
  <r>
    <s v="AV033"/>
    <d v="2024-08-09T00:00:00"/>
    <x v="14"/>
    <n v="8"/>
    <s v="ATR2283"/>
    <x v="30"/>
    <s v="ATR 72"/>
    <s v="fatal_crash"/>
    <n v="62"/>
    <s v="Vinhedo, Brazil"/>
    <s v="Flat spin crash"/>
    <n v="1"/>
    <n v="0"/>
    <n v="0"/>
    <n v="0"/>
    <x v="0"/>
  </r>
  <r>
    <s v="AV034"/>
    <d v="2024-12-25T00:00:00"/>
    <x v="14"/>
    <n v="12"/>
    <s v="J28243"/>
    <x v="31"/>
    <s v="E190"/>
    <s v="fatal_crash"/>
    <n v="38"/>
    <s v="Aktau, Kazakhstan"/>
    <s v="Hit by Russian air defense fire"/>
    <n v="1"/>
    <n v="0"/>
    <n v="0"/>
    <n v="0"/>
    <x v="0"/>
  </r>
  <r>
    <s v="AV035"/>
    <d v="2024-12-29T00:00:00"/>
    <x v="14"/>
    <n v="12"/>
    <s v="7C2216"/>
    <x v="32"/>
    <s v="B737-800"/>
    <s v="fatal_crash"/>
    <n v="179"/>
    <s v="Muan, South Korea"/>
    <s v="Belly landing, deadliest in Korean history"/>
    <n v="1"/>
    <n v="0"/>
    <n v="1"/>
    <n v="0"/>
    <x v="1"/>
  </r>
  <r>
    <s v="AV036"/>
    <d v="2025-01-29T00:00:00"/>
    <x v="15"/>
    <n v="1"/>
    <s v="AA5342"/>
    <x v="33"/>
    <s v="CRJ-700"/>
    <s v="fatal_collision"/>
    <n v="67"/>
    <s v="Washington DC, USA"/>
    <s v="Mid-air collision with Army Black Hawk"/>
    <n v="1"/>
    <n v="0"/>
    <n v="0"/>
    <n v="0"/>
    <x v="0"/>
  </r>
  <r>
    <s v="AV037"/>
    <d v="2025-02-17T00:00:00"/>
    <x v="15"/>
    <n v="2"/>
    <s v="DL4819"/>
    <x v="34"/>
    <s v="CRJ-900"/>
    <s v="incident"/>
    <n v="0"/>
    <s v="Toronto, Canada"/>
    <s v="Plane flipped on landing, all survived"/>
    <n v="0"/>
    <n v="0"/>
    <n v="0"/>
    <n v="0"/>
    <x v="0"/>
  </r>
  <r>
    <s v="AV038"/>
    <d v="2025-06-12T00:00:00"/>
    <x v="15"/>
    <n v="6"/>
    <s v="AI171"/>
    <x v="26"/>
    <s v="B787-8"/>
    <s v="fatal_crash"/>
    <n v="241"/>
    <s v="Ahmedabad, India"/>
    <s v="Crashed shortly after takeoff"/>
    <n v="1"/>
    <n v="0"/>
    <n v="1"/>
    <n v="0"/>
    <x v="1"/>
  </r>
  <r>
    <s v="AV039"/>
    <d v="2025-09-20T00:00:00"/>
    <x v="15"/>
    <n v="9"/>
    <s v="BA38"/>
    <x v="35"/>
    <s v="B777-200"/>
    <s v="incident"/>
    <n v="0"/>
    <s v="London-Heathrow"/>
    <s v="Hydraulic failure, emergency landing"/>
    <n v="0"/>
    <n v="0"/>
    <n v="1"/>
    <n v="0"/>
    <x v="1"/>
  </r>
  <r>
    <s v="AV040"/>
    <d v="2026-02-15T00:00:00"/>
    <x v="16"/>
    <n v="2"/>
    <s v="EK231"/>
    <x v="36"/>
    <s v="A380"/>
    <s v="incident"/>
    <n v="0"/>
    <s v="Dubai-JFK"/>
    <s v="Engine shutdown, diversion"/>
    <n v="0"/>
    <n v="0"/>
    <n v="0"/>
    <n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n v="2015"/>
    <x v="0"/>
    <s v="CJU"/>
    <s v="GMP"/>
    <n v="451"/>
    <s v="Asia"/>
    <s v="Korean Air, Asiana, JeJu Air"/>
    <n v="6.37"/>
    <n v="50"/>
    <n v="19"/>
    <n v="320.5"/>
  </r>
  <r>
    <n v="2018"/>
    <x v="0"/>
    <s v="CJU"/>
    <s v="GMP"/>
    <n v="451"/>
    <s v="Asia"/>
    <s v="Korean Air, Asiana, JeJu Air"/>
    <n v="7.92"/>
    <n v="68"/>
    <n v="22"/>
    <n v="539.4"/>
  </r>
  <r>
    <n v="2019"/>
    <x v="0"/>
    <s v="CJU"/>
    <s v="GMP"/>
    <n v="451"/>
    <s v="Asia"/>
    <s v="Korean Air, Asiana, JeJu Air"/>
    <n v="7.65"/>
    <n v="65"/>
    <n v="21"/>
    <n v="498"/>
  </r>
  <r>
    <n v="2020"/>
    <x v="0"/>
    <s v="CJU"/>
    <s v="GMP"/>
    <n v="451"/>
    <s v="Asia"/>
    <s v="Korean Air, Asiana, JeJu Air"/>
    <n v="2.21"/>
    <n v="21"/>
    <n v="4"/>
    <n v="45.4"/>
  </r>
  <r>
    <n v="2021"/>
    <x v="0"/>
    <s v="CJU"/>
    <s v="GMP"/>
    <n v="451"/>
    <s v="Asia"/>
    <s v="Korean Air, Asiana, JeJu Air"/>
    <n v="3.57"/>
    <n v="34"/>
    <n v="10"/>
    <n v="121.5"/>
  </r>
  <r>
    <n v="2022"/>
    <x v="0"/>
    <s v="CJU"/>
    <s v="GMP"/>
    <n v="451"/>
    <s v="Asia"/>
    <s v="Korean Air, Asiana, JeJu Air"/>
    <n v="5.69"/>
    <n v="47"/>
    <n v="17"/>
    <n v="270.2"/>
  </r>
  <r>
    <n v="2023"/>
    <x v="0"/>
    <s v="CJU"/>
    <s v="GMP"/>
    <n v="451"/>
    <s v="Asia"/>
    <s v="Korean Air, Asiana, JeJu Air"/>
    <n v="6.77"/>
    <n v="71"/>
    <n v="18"/>
    <n v="483.1"/>
  </r>
  <r>
    <n v="2024"/>
    <x v="0"/>
    <s v="CJU"/>
    <s v="GMP"/>
    <n v="451"/>
    <s v="Asia"/>
    <s v="Korean Air, Asiana, JeJu Air"/>
    <n v="7.51"/>
    <n v="73"/>
    <n v="24"/>
    <n v="550.29999999999995"/>
  </r>
  <r>
    <n v="2025"/>
    <x v="0"/>
    <s v="CJU"/>
    <s v="GMP"/>
    <n v="451"/>
    <s v="Asia"/>
    <s v="Korean Air, Asiana, JeJu Air"/>
    <n v="8.33"/>
    <n v="77"/>
    <n v="24"/>
    <n v="644.5"/>
  </r>
  <r>
    <n v="2026"/>
    <x v="0"/>
    <s v="CJU"/>
    <s v="GMP"/>
    <n v="451"/>
    <s v="Asia"/>
    <s v="Korean Air, Asiana, JeJu Air"/>
    <n v="8.0299999999999994"/>
    <n v="74"/>
    <n v="22"/>
    <n v="594.5"/>
  </r>
  <r>
    <n v="2015"/>
    <x v="1"/>
    <s v="HND"/>
    <s v="CTS"/>
    <n v="821"/>
    <s v="Asia"/>
    <s v="ANA, JAL"/>
    <n v="3.29"/>
    <n v="66"/>
    <n v="10"/>
    <n v="216.8"/>
  </r>
  <r>
    <n v="2018"/>
    <x v="1"/>
    <s v="HND"/>
    <s v="CTS"/>
    <n v="821"/>
    <s v="Asia"/>
    <s v="ANA, JAL"/>
    <n v="3.44"/>
    <n v="80"/>
    <n v="9"/>
    <n v="275.5"/>
  </r>
  <r>
    <n v="2019"/>
    <x v="1"/>
    <s v="HND"/>
    <s v="CTS"/>
    <n v="821"/>
    <s v="Asia"/>
    <s v="ANA, JAL"/>
    <n v="4.03"/>
    <n v="84"/>
    <n v="13"/>
    <n v="340.7"/>
  </r>
  <r>
    <n v="2020"/>
    <x v="1"/>
    <s v="HND"/>
    <s v="CTS"/>
    <n v="821"/>
    <s v="Asia"/>
    <s v="ANA, JAL"/>
    <n v="1.1100000000000001"/>
    <n v="25"/>
    <n v="2"/>
    <n v="27.7"/>
  </r>
  <r>
    <n v="2021"/>
    <x v="1"/>
    <s v="HND"/>
    <s v="CTS"/>
    <n v="821"/>
    <s v="Asia"/>
    <s v="ANA, JAL"/>
    <n v="1.88"/>
    <n v="41"/>
    <n v="4"/>
    <n v="76.5"/>
  </r>
  <r>
    <n v="2022"/>
    <x v="1"/>
    <s v="HND"/>
    <s v="CTS"/>
    <n v="821"/>
    <s v="Asia"/>
    <s v="ANA, JAL"/>
    <n v="2.72"/>
    <n v="57"/>
    <n v="5"/>
    <n v="155.5"/>
  </r>
  <r>
    <n v="2023"/>
    <x v="1"/>
    <s v="HND"/>
    <s v="CTS"/>
    <n v="821"/>
    <s v="Asia"/>
    <s v="ANA, JAL"/>
    <n v="3.47"/>
    <n v="82"/>
    <n v="8"/>
    <n v="283.8"/>
  </r>
  <r>
    <n v="2024"/>
    <x v="1"/>
    <s v="HND"/>
    <s v="CTS"/>
    <n v="821"/>
    <s v="Asia"/>
    <s v="ANA, JAL"/>
    <n v="3.79"/>
    <n v="97"/>
    <n v="10"/>
    <n v="367.1"/>
  </r>
  <r>
    <n v="2025"/>
    <x v="1"/>
    <s v="HND"/>
    <s v="CTS"/>
    <n v="821"/>
    <s v="Asia"/>
    <s v="ANA, JAL"/>
    <n v="4.25"/>
    <n v="95"/>
    <n v="13"/>
    <n v="402.4"/>
  </r>
  <r>
    <n v="2026"/>
    <x v="1"/>
    <s v="HND"/>
    <s v="CTS"/>
    <n v="821"/>
    <s v="Asia"/>
    <s v="ANA, JAL"/>
    <n v="4.0199999999999996"/>
    <n v="92"/>
    <n v="10"/>
    <n v="367.7"/>
  </r>
  <r>
    <n v="2015"/>
    <x v="2"/>
    <s v="MEL"/>
    <s v="SYD"/>
    <n v="705"/>
    <s v="Oceania"/>
    <s v="Qantas, Virgin Australia"/>
    <n v="5.65"/>
    <n v="62"/>
    <n v="15"/>
    <n v="352.4"/>
  </r>
  <r>
    <n v="2018"/>
    <x v="2"/>
    <s v="MEL"/>
    <s v="SYD"/>
    <n v="705"/>
    <s v="Oceania"/>
    <s v="Qantas, Virgin Australia"/>
    <n v="6.33"/>
    <n v="81"/>
    <n v="21"/>
    <n v="510.3"/>
  </r>
  <r>
    <n v="2019"/>
    <x v="2"/>
    <s v="MEL"/>
    <s v="SYD"/>
    <n v="705"/>
    <s v="Oceania"/>
    <s v="Qantas, Virgin Australia"/>
    <n v="6.95"/>
    <n v="72"/>
    <n v="18"/>
    <n v="501.8"/>
  </r>
  <r>
    <n v="2020"/>
    <x v="2"/>
    <s v="MEL"/>
    <s v="SYD"/>
    <n v="705"/>
    <s v="Oceania"/>
    <s v="Qantas, Virgin Australia"/>
    <n v="2.1"/>
    <n v="23"/>
    <n v="5"/>
    <n v="48.4"/>
  </r>
  <r>
    <n v="2021"/>
    <x v="2"/>
    <s v="MEL"/>
    <s v="SYD"/>
    <n v="705"/>
    <s v="Oceania"/>
    <s v="Qantas, Virgin Australia"/>
    <n v="3.57"/>
    <n v="40"/>
    <n v="11"/>
    <n v="143"/>
  </r>
  <r>
    <n v="2022"/>
    <x v="2"/>
    <s v="MEL"/>
    <s v="SYD"/>
    <n v="705"/>
    <s v="Oceania"/>
    <s v="Qantas, Virgin Australia"/>
    <n v="5.24"/>
    <n v="55"/>
    <n v="16"/>
    <n v="287.8"/>
  </r>
  <r>
    <n v="2023"/>
    <x v="2"/>
    <s v="MEL"/>
    <s v="SYD"/>
    <n v="705"/>
    <s v="Oceania"/>
    <s v="Qantas, Virgin Australia"/>
    <n v="6.73"/>
    <n v="78"/>
    <n v="20"/>
    <n v="527.20000000000005"/>
  </r>
  <r>
    <n v="2024"/>
    <x v="2"/>
    <s v="MEL"/>
    <s v="SYD"/>
    <n v="705"/>
    <s v="Oceania"/>
    <s v="Qantas, Virgin Australia"/>
    <n v="7.02"/>
    <n v="75"/>
    <n v="20"/>
    <n v="529"/>
  </r>
  <r>
    <n v="2025"/>
    <x v="2"/>
    <s v="MEL"/>
    <s v="SYD"/>
    <n v="705"/>
    <s v="Oceania"/>
    <s v="Qantas, Virgin Australia"/>
    <n v="7.46"/>
    <n v="90"/>
    <n v="22"/>
    <n v="671.9"/>
  </r>
  <r>
    <n v="2026"/>
    <x v="2"/>
    <s v="MEL"/>
    <s v="SYD"/>
    <n v="705"/>
    <s v="Oceania"/>
    <s v="Qantas, Virgin Australia"/>
    <n v="8.2799999999999994"/>
    <n v="90"/>
    <n v="25"/>
    <n v="743.1"/>
  </r>
  <r>
    <n v="2015"/>
    <x v="3"/>
    <s v="BOM"/>
    <s v="DEL"/>
    <n v="1148"/>
    <s v="Asia"/>
    <s v="IndiGo, Air India, Vistara"/>
    <n v="6.34"/>
    <n v="82"/>
    <n v="20"/>
    <n v="519.1"/>
  </r>
  <r>
    <n v="2018"/>
    <x v="3"/>
    <s v="BOM"/>
    <s v="DEL"/>
    <n v="1148"/>
    <s v="Asia"/>
    <s v="IndiGo, Air India, Vistara"/>
    <n v="6.99"/>
    <n v="89"/>
    <n v="20"/>
    <n v="625.1"/>
  </r>
  <r>
    <n v="2019"/>
    <x v="3"/>
    <s v="BOM"/>
    <s v="DEL"/>
    <n v="1148"/>
    <s v="Asia"/>
    <s v="IndiGo, Air India, Vistara"/>
    <n v="7.53"/>
    <n v="103"/>
    <n v="22"/>
    <n v="777.8"/>
  </r>
  <r>
    <n v="2020"/>
    <x v="3"/>
    <s v="BOM"/>
    <s v="DEL"/>
    <n v="1148"/>
    <s v="Asia"/>
    <s v="IndiGo, Air India, Vistara"/>
    <n v="2.31"/>
    <n v="26"/>
    <n v="6"/>
    <n v="59.2"/>
  </r>
  <r>
    <n v="2021"/>
    <x v="3"/>
    <s v="BOM"/>
    <s v="DEL"/>
    <n v="1148"/>
    <s v="Asia"/>
    <s v="IndiGo, Air India, Vistara"/>
    <n v="3.65"/>
    <n v="46"/>
    <n v="13"/>
    <n v="167.8"/>
  </r>
  <r>
    <n v="2022"/>
    <x v="3"/>
    <s v="BOM"/>
    <s v="DEL"/>
    <n v="1148"/>
    <s v="Asia"/>
    <s v="IndiGo, Air India, Vistara"/>
    <n v="5.48"/>
    <n v="70"/>
    <n v="16"/>
    <n v="384.4"/>
  </r>
  <r>
    <n v="2023"/>
    <x v="3"/>
    <s v="BOM"/>
    <s v="DEL"/>
    <n v="1148"/>
    <s v="Asia"/>
    <s v="IndiGo, Air India, Vistara"/>
    <n v="6.42"/>
    <n v="87"/>
    <n v="20"/>
    <n v="558.79999999999995"/>
  </r>
  <r>
    <n v="2024"/>
    <x v="3"/>
    <s v="BOM"/>
    <s v="DEL"/>
    <n v="1148"/>
    <s v="Asia"/>
    <s v="IndiGo, Air India, Vistara"/>
    <n v="7.5"/>
    <n v="96"/>
    <n v="23"/>
    <n v="718.3"/>
  </r>
  <r>
    <n v="2025"/>
    <x v="3"/>
    <s v="BOM"/>
    <s v="DEL"/>
    <n v="1148"/>
    <s v="Asia"/>
    <s v="IndiGo, Air India, Vistara"/>
    <n v="8.5"/>
    <n v="109"/>
    <n v="25"/>
    <n v="924.6"/>
  </r>
  <r>
    <n v="2026"/>
    <x v="3"/>
    <s v="BOM"/>
    <s v="DEL"/>
    <n v="1148"/>
    <s v="Asia"/>
    <s v="IndiGo, Air India, Vistara"/>
    <n v="8.1199999999999992"/>
    <n v="102"/>
    <n v="23"/>
    <n v="831.3"/>
  </r>
  <r>
    <n v="2015"/>
    <x v="4"/>
    <s v="PEK"/>
    <s v="SHA"/>
    <n v="1080"/>
    <s v="Asia"/>
    <s v="Air China, China Eastern"/>
    <n v="7.74"/>
    <n v="74"/>
    <n v="21"/>
    <n v="576.20000000000005"/>
  </r>
  <r>
    <n v="2018"/>
    <x v="4"/>
    <s v="PEK"/>
    <s v="SHA"/>
    <n v="1080"/>
    <s v="Asia"/>
    <s v="Air China, China Eastern"/>
    <n v="8.94"/>
    <n v="90"/>
    <n v="28"/>
    <n v="803.2"/>
  </r>
  <r>
    <n v="2019"/>
    <x v="4"/>
    <s v="PEK"/>
    <s v="SHA"/>
    <n v="1080"/>
    <s v="Asia"/>
    <s v="Air China, China Eastern"/>
    <n v="9.09"/>
    <n v="95"/>
    <n v="27"/>
    <n v="862.1"/>
  </r>
  <r>
    <n v="2020"/>
    <x v="4"/>
    <s v="PEK"/>
    <s v="SHA"/>
    <n v="1080"/>
    <s v="Asia"/>
    <s v="Air China, China Eastern"/>
    <n v="2.77"/>
    <n v="29"/>
    <n v="9"/>
    <n v="81"/>
  </r>
  <r>
    <n v="2021"/>
    <x v="4"/>
    <s v="PEK"/>
    <s v="SHA"/>
    <n v="1080"/>
    <s v="Asia"/>
    <s v="Air China, China Eastern"/>
    <n v="4.7300000000000004"/>
    <n v="46"/>
    <n v="13"/>
    <n v="217"/>
  </r>
  <r>
    <n v="2022"/>
    <x v="4"/>
    <s v="PEK"/>
    <s v="SHA"/>
    <n v="1080"/>
    <s v="Asia"/>
    <s v="Air China, China Eastern"/>
    <n v="6.63"/>
    <n v="67"/>
    <n v="19"/>
    <n v="441.4"/>
  </r>
  <r>
    <n v="2023"/>
    <x v="4"/>
    <s v="PEK"/>
    <s v="SHA"/>
    <n v="1080"/>
    <s v="Asia"/>
    <s v="Air China, China Eastern"/>
    <n v="8.48"/>
    <n v="91"/>
    <n v="26"/>
    <n v="770.6"/>
  </r>
  <r>
    <n v="2024"/>
    <x v="4"/>
    <s v="PEK"/>
    <s v="SHA"/>
    <n v="1080"/>
    <s v="Asia"/>
    <s v="Air China, China Eastern"/>
    <n v="9.4499999999999993"/>
    <n v="100"/>
    <n v="27"/>
    <n v="940.6"/>
  </r>
  <r>
    <n v="2025"/>
    <x v="4"/>
    <s v="PEK"/>
    <s v="SHA"/>
    <n v="1080"/>
    <s v="Asia"/>
    <s v="Air China, China Eastern"/>
    <n v="10.14"/>
    <n v="98"/>
    <n v="31"/>
    <n v="997.5"/>
  </r>
  <r>
    <n v="2026"/>
    <x v="4"/>
    <s v="PEK"/>
    <s v="SHA"/>
    <n v="1080"/>
    <s v="Asia"/>
    <s v="Air China, China Eastern"/>
    <n v="10.17"/>
    <n v="111"/>
    <n v="30"/>
    <n v="1128.3"/>
  </r>
  <r>
    <n v="2015"/>
    <x v="5"/>
    <s v="HKG"/>
    <s v="TPE"/>
    <n v="813"/>
    <s v="Asia"/>
    <s v="Cathay Pacific, China Airlines"/>
    <n v="8.51"/>
    <n v="71"/>
    <n v="26"/>
    <n v="605.9"/>
  </r>
  <r>
    <n v="2018"/>
    <x v="5"/>
    <s v="HKG"/>
    <s v="TPE"/>
    <n v="813"/>
    <s v="Asia"/>
    <s v="Cathay Pacific, China Airlines"/>
    <n v="10.11"/>
    <n v="90"/>
    <n v="31"/>
    <n v="906.2"/>
  </r>
  <r>
    <n v="2019"/>
    <x v="5"/>
    <s v="HKG"/>
    <s v="TPE"/>
    <n v="813"/>
    <s v="Asia"/>
    <s v="Cathay Pacific, China Airlines"/>
    <n v="10.39"/>
    <n v="81"/>
    <n v="31"/>
    <n v="841.6"/>
  </r>
  <r>
    <n v="2020"/>
    <x v="5"/>
    <s v="HKG"/>
    <s v="TPE"/>
    <n v="813"/>
    <s v="Asia"/>
    <s v="Cathay Pacific, China Airlines"/>
    <n v="3.05"/>
    <n v="27"/>
    <n v="9"/>
    <n v="81.099999999999994"/>
  </r>
  <r>
    <n v="2021"/>
    <x v="5"/>
    <s v="HKG"/>
    <s v="TPE"/>
    <n v="813"/>
    <s v="Asia"/>
    <s v="Cathay Pacific, China Airlines"/>
    <n v="5.32"/>
    <n v="43"/>
    <n v="17"/>
    <n v="228.6"/>
  </r>
  <r>
    <n v="2022"/>
    <x v="5"/>
    <s v="HKG"/>
    <s v="TPE"/>
    <n v="813"/>
    <s v="Asia"/>
    <s v="Cathay Pacific, China Airlines"/>
    <n v="7.95"/>
    <n v="61"/>
    <n v="25"/>
    <n v="488.5"/>
  </r>
  <r>
    <n v="2023"/>
    <x v="5"/>
    <s v="HKG"/>
    <s v="TPE"/>
    <n v="813"/>
    <s v="Asia"/>
    <s v="Cathay Pacific, China Airlines"/>
    <n v="10.39"/>
    <n v="77"/>
    <n v="31"/>
    <n v="799.1"/>
  </r>
  <r>
    <n v="2024"/>
    <x v="5"/>
    <s v="HKG"/>
    <s v="TPE"/>
    <n v="813"/>
    <s v="Asia"/>
    <s v="Cathay Pacific, China Airlines"/>
    <n v="11.14"/>
    <n v="89"/>
    <n v="32"/>
    <n v="986.1"/>
  </r>
  <r>
    <n v="2025"/>
    <x v="5"/>
    <s v="HKG"/>
    <s v="TPE"/>
    <n v="813"/>
    <s v="Asia"/>
    <s v="Cathay Pacific, China Airlines"/>
    <n v="10.88"/>
    <n v="86"/>
    <n v="31"/>
    <n v="936.6"/>
  </r>
  <r>
    <n v="2026"/>
    <x v="5"/>
    <s v="HKG"/>
    <s v="TPE"/>
    <n v="813"/>
    <s v="Asia"/>
    <s v="Cathay Pacific, China Airlines"/>
    <n v="11.49"/>
    <n v="96"/>
    <n v="34"/>
    <n v="1102.8"/>
  </r>
  <r>
    <n v="2015"/>
    <x v="6"/>
    <s v="SIN"/>
    <s v="KUL"/>
    <n v="297"/>
    <s v="Asia"/>
    <s v="Singapore, AirAsia, Malaysia"/>
    <n v="5.23"/>
    <n v="51"/>
    <n v="16"/>
    <n v="267.8"/>
  </r>
  <r>
    <n v="2018"/>
    <x v="6"/>
    <s v="SIN"/>
    <s v="KUL"/>
    <n v="297"/>
    <s v="Asia"/>
    <s v="Singapore, AirAsia, Malaysia"/>
    <n v="6.29"/>
    <n v="56"/>
    <n v="19"/>
    <n v="354.1"/>
  </r>
  <r>
    <n v="2019"/>
    <x v="6"/>
    <s v="SIN"/>
    <s v="KUL"/>
    <n v="297"/>
    <s v="Asia"/>
    <s v="Singapore, AirAsia, Malaysia"/>
    <n v="7.06"/>
    <n v="62"/>
    <n v="20"/>
    <n v="436.5"/>
  </r>
  <r>
    <n v="2020"/>
    <x v="6"/>
    <s v="SIN"/>
    <s v="KUL"/>
    <n v="297"/>
    <s v="Asia"/>
    <s v="Singapore, AirAsia, Malaysia"/>
    <n v="1.93"/>
    <n v="19"/>
    <n v="5"/>
    <n v="36"/>
  </r>
  <r>
    <n v="2021"/>
    <x v="6"/>
    <s v="SIN"/>
    <s v="KUL"/>
    <n v="297"/>
    <s v="Asia"/>
    <s v="Singapore, AirAsia, Malaysia"/>
    <n v="3.23"/>
    <n v="28"/>
    <n v="8"/>
    <n v="91.6"/>
  </r>
  <r>
    <n v="2022"/>
    <x v="6"/>
    <s v="SIN"/>
    <s v="KUL"/>
    <n v="297"/>
    <s v="Asia"/>
    <s v="Singapore, AirAsia, Malaysia"/>
    <n v="4.82"/>
    <n v="46"/>
    <n v="13"/>
    <n v="221.6"/>
  </r>
  <r>
    <n v="2023"/>
    <x v="6"/>
    <s v="SIN"/>
    <s v="KUL"/>
    <n v="297"/>
    <s v="Asia"/>
    <s v="Singapore, AirAsia, Malaysia"/>
    <n v="6.1"/>
    <n v="59"/>
    <n v="19"/>
    <n v="359.9"/>
  </r>
  <r>
    <n v="2024"/>
    <x v="6"/>
    <s v="SIN"/>
    <s v="KUL"/>
    <n v="297"/>
    <s v="Asia"/>
    <s v="Singapore, AirAsia, Malaysia"/>
    <n v="6.76"/>
    <n v="67"/>
    <n v="19"/>
    <n v="450.1"/>
  </r>
  <r>
    <n v="2025"/>
    <x v="6"/>
    <s v="SIN"/>
    <s v="KUL"/>
    <n v="297"/>
    <s v="Asia"/>
    <s v="Singapore, AirAsia, Malaysia"/>
    <n v="7.28"/>
    <n v="70"/>
    <n v="22"/>
    <n v="506.7"/>
  </r>
  <r>
    <n v="2026"/>
    <x v="6"/>
    <s v="SIN"/>
    <s v="KUL"/>
    <n v="297"/>
    <s v="Asia"/>
    <s v="Singapore, AirAsia, Malaysia"/>
    <n v="7.45"/>
    <n v="72"/>
    <n v="22"/>
    <n v="535.1"/>
  </r>
  <r>
    <n v="2015"/>
    <x v="7"/>
    <s v="DXB"/>
    <s v="LHR"/>
    <n v="5482"/>
    <s v="Middle East"/>
    <s v="Emirates, British Airways"/>
    <n v="3.3"/>
    <n v="220"/>
    <n v="9"/>
    <n v="726.8"/>
  </r>
  <r>
    <n v="2018"/>
    <x v="7"/>
    <s v="DXB"/>
    <s v="LHR"/>
    <n v="5482"/>
    <s v="Middle East"/>
    <s v="Emirates, British Airways"/>
    <n v="3.56"/>
    <n v="262"/>
    <n v="9"/>
    <n v="934.4"/>
  </r>
  <r>
    <n v="2019"/>
    <x v="7"/>
    <s v="DXB"/>
    <s v="LHR"/>
    <n v="5482"/>
    <s v="Middle East"/>
    <s v="Emirates, British Airways"/>
    <n v="3.71"/>
    <n v="268"/>
    <n v="8"/>
    <n v="993.9"/>
  </r>
  <r>
    <n v="2020"/>
    <x v="7"/>
    <s v="DXB"/>
    <s v="LHR"/>
    <n v="5482"/>
    <s v="Middle East"/>
    <s v="Emirates, British Airways"/>
    <n v="1.1100000000000001"/>
    <n v="80"/>
    <n v="3"/>
    <n v="88.6"/>
  </r>
  <r>
    <n v="2021"/>
    <x v="7"/>
    <s v="DXB"/>
    <s v="LHR"/>
    <n v="5482"/>
    <s v="Middle East"/>
    <s v="Emirates, British Airways"/>
    <n v="1.97"/>
    <n v="125"/>
    <n v="5"/>
    <n v="246.6"/>
  </r>
  <r>
    <n v="2022"/>
    <x v="7"/>
    <s v="DXB"/>
    <s v="LHR"/>
    <n v="5482"/>
    <s v="Middle East"/>
    <s v="Emirates, British Airways"/>
    <n v="2.52"/>
    <n v="196"/>
    <n v="7"/>
    <n v="493.5"/>
  </r>
  <r>
    <n v="2023"/>
    <x v="7"/>
    <s v="DXB"/>
    <s v="LHR"/>
    <n v="5482"/>
    <s v="Middle East"/>
    <s v="Emirates, British Airways"/>
    <n v="3.47"/>
    <n v="273"/>
    <n v="11"/>
    <n v="947.5"/>
  </r>
  <r>
    <n v="2024"/>
    <x v="7"/>
    <s v="DXB"/>
    <s v="LHR"/>
    <n v="5482"/>
    <s v="Middle East"/>
    <s v="Emirates, British Airways"/>
    <n v="3.92"/>
    <n v="277"/>
    <n v="12"/>
    <n v="1084.4000000000001"/>
  </r>
  <r>
    <n v="2025"/>
    <x v="7"/>
    <s v="DXB"/>
    <s v="LHR"/>
    <n v="5482"/>
    <s v="Middle East"/>
    <s v="Emirates, British Airways"/>
    <n v="4.09"/>
    <n v="282"/>
    <n v="10"/>
    <n v="1154.0999999999999"/>
  </r>
  <r>
    <n v="2026"/>
    <x v="7"/>
    <s v="DXB"/>
    <s v="LHR"/>
    <n v="5482"/>
    <s v="Middle East"/>
    <s v="Emirates, British Airways"/>
    <n v="4.0999999999999996"/>
    <n v="316"/>
    <n v="14"/>
    <n v="1292.8"/>
  </r>
  <r>
    <n v="2015"/>
    <x v="8"/>
    <s v="DXB"/>
    <s v="BOM"/>
    <n v="1928"/>
    <s v="Middle East"/>
    <s v="Emirates, Air India"/>
    <n v="3.47"/>
    <n v="101"/>
    <n v="10"/>
    <n v="348.9"/>
  </r>
  <r>
    <n v="2018"/>
    <x v="8"/>
    <s v="DXB"/>
    <s v="BOM"/>
    <n v="1928"/>
    <s v="Middle East"/>
    <s v="Emirates, Air India"/>
    <n v="3.72"/>
    <n v="125"/>
    <n v="11"/>
    <n v="464.7"/>
  </r>
  <r>
    <n v="2019"/>
    <x v="8"/>
    <s v="DXB"/>
    <s v="BOM"/>
    <n v="1928"/>
    <s v="Middle East"/>
    <s v="Emirates, Air India"/>
    <n v="4.28"/>
    <n v="125"/>
    <n v="13"/>
    <n v="536.9"/>
  </r>
  <r>
    <n v="2020"/>
    <x v="8"/>
    <s v="DXB"/>
    <s v="BOM"/>
    <n v="1928"/>
    <s v="Middle East"/>
    <s v="Emirates, Air India"/>
    <n v="1.27"/>
    <n v="36"/>
    <n v="5"/>
    <n v="46.2"/>
  </r>
  <r>
    <n v="2021"/>
    <x v="8"/>
    <s v="DXB"/>
    <s v="BOM"/>
    <n v="1928"/>
    <s v="Middle East"/>
    <s v="Emirates, Air India"/>
    <n v="2.0699999999999998"/>
    <n v="67"/>
    <n v="3"/>
    <n v="138.1"/>
  </r>
  <r>
    <n v="2022"/>
    <x v="8"/>
    <s v="DXB"/>
    <s v="BOM"/>
    <n v="1928"/>
    <s v="Middle East"/>
    <s v="Emirates, Air India"/>
    <n v="3.32"/>
    <n v="104"/>
    <n v="9"/>
    <n v="345.6"/>
  </r>
  <r>
    <n v="2023"/>
    <x v="8"/>
    <s v="DXB"/>
    <s v="BOM"/>
    <n v="1928"/>
    <s v="Middle East"/>
    <s v="Emirates, Air India"/>
    <n v="4.09"/>
    <n v="125"/>
    <n v="11"/>
    <n v="510.2"/>
  </r>
  <r>
    <n v="2024"/>
    <x v="8"/>
    <s v="DXB"/>
    <s v="BOM"/>
    <n v="1928"/>
    <s v="Middle East"/>
    <s v="Emirates, Air India"/>
    <n v="4.51"/>
    <n v="127"/>
    <n v="12"/>
    <n v="573.9"/>
  </r>
  <r>
    <n v="2025"/>
    <x v="8"/>
    <s v="DXB"/>
    <s v="BOM"/>
    <n v="1928"/>
    <s v="Middle East"/>
    <s v="Emirates, Air India"/>
    <n v="4.84"/>
    <n v="148"/>
    <n v="13"/>
    <n v="717.4"/>
  </r>
  <r>
    <n v="2026"/>
    <x v="8"/>
    <s v="DXB"/>
    <s v="BOM"/>
    <n v="1928"/>
    <s v="Middle East"/>
    <s v="Emirates, Air India"/>
    <n v="4.57"/>
    <n v="137"/>
    <n v="14"/>
    <n v="626.4"/>
  </r>
  <r>
    <n v="2015"/>
    <x v="9"/>
    <s v="DOH"/>
    <s v="LHR"/>
    <n v="5266"/>
    <s v="Middle East"/>
    <s v="Qatar Airways, British Airways"/>
    <n v="3.39"/>
    <n v="232"/>
    <n v="10"/>
    <n v="784.6"/>
  </r>
  <r>
    <n v="2018"/>
    <x v="9"/>
    <s v="DOH"/>
    <s v="LHR"/>
    <n v="5266"/>
    <s v="Middle East"/>
    <s v="Qatar Airways, British Airways"/>
    <n v="3.89"/>
    <n v="243"/>
    <n v="11"/>
    <n v="944.6"/>
  </r>
  <r>
    <n v="2019"/>
    <x v="9"/>
    <s v="DOH"/>
    <s v="LHR"/>
    <n v="5266"/>
    <s v="Middle East"/>
    <s v="Qatar Airways, British Airways"/>
    <n v="3.78"/>
    <n v="277"/>
    <n v="10"/>
    <n v="1046.4000000000001"/>
  </r>
  <r>
    <n v="2020"/>
    <x v="9"/>
    <s v="DOH"/>
    <s v="LHR"/>
    <n v="5266"/>
    <s v="Middle East"/>
    <s v="Qatar Airways, British Airways"/>
    <n v="1.19"/>
    <n v="78"/>
    <n v="2"/>
    <n v="93"/>
  </r>
  <r>
    <n v="2021"/>
    <x v="9"/>
    <s v="DOH"/>
    <s v="LHR"/>
    <n v="5266"/>
    <s v="Middle East"/>
    <s v="Qatar Airways, British Airways"/>
    <n v="1.92"/>
    <n v="142"/>
    <n v="5"/>
    <n v="271.39999999999998"/>
  </r>
  <r>
    <n v="2022"/>
    <x v="9"/>
    <s v="DOH"/>
    <s v="LHR"/>
    <n v="5266"/>
    <s v="Middle East"/>
    <s v="Qatar Airways, British Airways"/>
    <n v="2.83"/>
    <n v="199"/>
    <n v="8"/>
    <n v="563.29999999999995"/>
  </r>
  <r>
    <n v="2023"/>
    <x v="9"/>
    <s v="DOH"/>
    <s v="LHR"/>
    <n v="5266"/>
    <s v="Middle East"/>
    <s v="Qatar Airways, British Airways"/>
    <n v="4.28"/>
    <n v="252"/>
    <n v="12"/>
    <n v="1079.0999999999999"/>
  </r>
  <r>
    <n v="2024"/>
    <x v="9"/>
    <s v="DOH"/>
    <s v="LHR"/>
    <n v="5266"/>
    <s v="Middle East"/>
    <s v="Qatar Airways, British Airways"/>
    <n v="4.37"/>
    <n v="245"/>
    <n v="13"/>
    <n v="1069.7"/>
  </r>
  <r>
    <n v="2025"/>
    <x v="9"/>
    <s v="DOH"/>
    <s v="LHR"/>
    <n v="5266"/>
    <s v="Middle East"/>
    <s v="Qatar Airways, British Airways"/>
    <n v="4.68"/>
    <n v="285"/>
    <n v="12"/>
    <n v="1332.2"/>
  </r>
  <r>
    <n v="2026"/>
    <x v="9"/>
    <s v="DOH"/>
    <s v="LHR"/>
    <n v="5266"/>
    <s v="Middle East"/>
    <s v="Qatar Airways, British Airways"/>
    <n v="4.33"/>
    <n v="319"/>
    <n v="13"/>
    <n v="1379.2"/>
  </r>
  <r>
    <n v="2015"/>
    <x v="10"/>
    <s v="IST"/>
    <s v="LHR"/>
    <n v="2502"/>
    <s v="Europe"/>
    <s v="Turkish, British Airways"/>
    <n v="1.67"/>
    <n v="123"/>
    <n v="5"/>
    <n v="206.2"/>
  </r>
  <r>
    <n v="2018"/>
    <x v="10"/>
    <s v="IST"/>
    <s v="LHR"/>
    <n v="2502"/>
    <s v="Europe"/>
    <s v="Turkish, British Airways"/>
    <n v="2.0299999999999998"/>
    <n v="152"/>
    <n v="6"/>
    <n v="307.60000000000002"/>
  </r>
  <r>
    <n v="2019"/>
    <x v="10"/>
    <s v="IST"/>
    <s v="LHR"/>
    <n v="2502"/>
    <s v="Europe"/>
    <s v="Turkish, British Airways"/>
    <n v="1.92"/>
    <n v="139"/>
    <n v="6"/>
    <n v="265.5"/>
  </r>
  <r>
    <n v="2020"/>
    <x v="10"/>
    <s v="IST"/>
    <s v="LHR"/>
    <n v="2502"/>
    <s v="Europe"/>
    <s v="Turkish, British Airways"/>
    <n v="0.56999999999999995"/>
    <n v="44"/>
    <n v="2"/>
    <n v="25.5"/>
  </r>
  <r>
    <n v="2021"/>
    <x v="10"/>
    <s v="IST"/>
    <s v="LHR"/>
    <n v="2502"/>
    <s v="Europe"/>
    <s v="Turkish, British Airways"/>
    <n v="0.97"/>
    <n v="71"/>
    <n v="2"/>
    <n v="68.099999999999994"/>
  </r>
  <r>
    <n v="2022"/>
    <x v="10"/>
    <s v="IST"/>
    <s v="LHR"/>
    <n v="2502"/>
    <s v="Europe"/>
    <s v="Turkish, British Airways"/>
    <n v="1.55"/>
    <n v="120"/>
    <n v="5"/>
    <n v="185.5"/>
  </r>
  <r>
    <n v="2023"/>
    <x v="10"/>
    <s v="IST"/>
    <s v="LHR"/>
    <n v="2502"/>
    <s v="Europe"/>
    <s v="Turkish, British Airways"/>
    <n v="1.93"/>
    <n v="136"/>
    <n v="4"/>
    <n v="262.5"/>
  </r>
  <r>
    <n v="2024"/>
    <x v="10"/>
    <s v="IST"/>
    <s v="LHR"/>
    <n v="2502"/>
    <s v="Europe"/>
    <s v="Turkish, British Airways"/>
    <n v="2.08"/>
    <n v="162"/>
    <n v="6"/>
    <n v="335.8"/>
  </r>
  <r>
    <n v="2025"/>
    <x v="10"/>
    <s v="IST"/>
    <s v="LHR"/>
    <n v="2502"/>
    <s v="Europe"/>
    <s v="Turkish, British Airways"/>
    <n v="2.04"/>
    <n v="157"/>
    <n v="7"/>
    <n v="321.89999999999998"/>
  </r>
  <r>
    <n v="2026"/>
    <x v="10"/>
    <s v="IST"/>
    <s v="LHR"/>
    <n v="2502"/>
    <s v="Europe"/>
    <s v="Turkish, British Airways"/>
    <n v="2.27"/>
    <n v="154"/>
    <n v="9"/>
    <n v="350.5"/>
  </r>
  <r>
    <n v="2015"/>
    <x v="11"/>
    <s v="LHR"/>
    <s v="JFK"/>
    <n v="5571"/>
    <s v="Atlantic"/>
    <s v="British Airways, Delta, American"/>
    <n v="1.2"/>
    <n v="238"/>
    <n v="3"/>
    <n v="284.89999999999998"/>
  </r>
  <r>
    <n v="2018"/>
    <x v="11"/>
    <s v="LHR"/>
    <s v="JFK"/>
    <n v="5571"/>
    <s v="Atlantic"/>
    <s v="British Airways, Delta, American"/>
    <n v="1.28"/>
    <n v="294"/>
    <n v="4"/>
    <n v="377.4"/>
  </r>
  <r>
    <n v="2019"/>
    <x v="11"/>
    <s v="LHR"/>
    <s v="JFK"/>
    <n v="5571"/>
    <s v="Atlantic"/>
    <s v="British Airways, Delta, American"/>
    <n v="1.44"/>
    <n v="282"/>
    <n v="3"/>
    <n v="405.5"/>
  </r>
  <r>
    <n v="2020"/>
    <x v="11"/>
    <s v="LHR"/>
    <s v="JFK"/>
    <n v="5571"/>
    <s v="Atlantic"/>
    <s v="British Airways, Delta, American"/>
    <n v="0.44"/>
    <n v="78"/>
    <n v="1"/>
    <n v="34.1"/>
  </r>
  <r>
    <n v="2021"/>
    <x v="11"/>
    <s v="LHR"/>
    <s v="JFK"/>
    <n v="5571"/>
    <s v="Atlantic"/>
    <s v="British Airways, Delta, American"/>
    <n v="0.65"/>
    <n v="121"/>
    <n v="2"/>
    <n v="78.5"/>
  </r>
  <r>
    <n v="2022"/>
    <x v="11"/>
    <s v="LHR"/>
    <s v="JFK"/>
    <n v="5571"/>
    <s v="Atlantic"/>
    <s v="British Airways, Delta, American"/>
    <n v="1.01"/>
    <n v="182"/>
    <n v="3"/>
    <n v="183.2"/>
  </r>
  <r>
    <n v="2023"/>
    <x v="11"/>
    <s v="LHR"/>
    <s v="JFK"/>
    <n v="5571"/>
    <s v="Atlantic"/>
    <s v="British Airways, Delta, American"/>
    <n v="1.44"/>
    <n v="282"/>
    <n v="4"/>
    <n v="404.7"/>
  </r>
  <r>
    <n v="2024"/>
    <x v="11"/>
    <s v="LHR"/>
    <s v="JFK"/>
    <n v="5571"/>
    <s v="Atlantic"/>
    <s v="British Airways, Delta, American"/>
    <n v="1.46"/>
    <n v="302"/>
    <n v="5"/>
    <n v="440.9"/>
  </r>
  <r>
    <n v="2025"/>
    <x v="11"/>
    <s v="LHR"/>
    <s v="JFK"/>
    <n v="5571"/>
    <s v="Atlantic"/>
    <s v="British Airways, Delta, American"/>
    <n v="1.51"/>
    <n v="301"/>
    <n v="4"/>
    <n v="453.3"/>
  </r>
  <r>
    <n v="2026"/>
    <x v="11"/>
    <s v="LHR"/>
    <s v="JFK"/>
    <n v="5571"/>
    <s v="Atlantic"/>
    <s v="British Airways, Delta, American"/>
    <n v="1.59"/>
    <n v="303"/>
    <n v="4"/>
    <n v="482.3"/>
  </r>
  <r>
    <n v="2015"/>
    <x v="12"/>
    <s v="LHR"/>
    <s v="CDG"/>
    <n v="344"/>
    <s v="Europe"/>
    <s v="Air France, British Airways"/>
    <n v="7.65"/>
    <n v="56"/>
    <n v="24"/>
    <n v="426.8"/>
  </r>
  <r>
    <n v="2018"/>
    <x v="12"/>
    <s v="LHR"/>
    <s v="CDG"/>
    <n v="344"/>
    <s v="Europe"/>
    <s v="Air France, British Airways"/>
    <n v="8.02"/>
    <n v="67"/>
    <n v="24"/>
    <n v="535.70000000000005"/>
  </r>
  <r>
    <n v="2019"/>
    <x v="12"/>
    <s v="LHR"/>
    <s v="CDG"/>
    <n v="344"/>
    <s v="Europe"/>
    <s v="Air France, British Airways"/>
    <n v="9.7799999999999994"/>
    <n v="59"/>
    <n v="28"/>
    <n v="580.29999999999995"/>
  </r>
  <r>
    <n v="2020"/>
    <x v="12"/>
    <s v="LHR"/>
    <s v="CDG"/>
    <n v="344"/>
    <s v="Europe"/>
    <s v="Air France, British Airways"/>
    <n v="2.62"/>
    <n v="20"/>
    <n v="9"/>
    <n v="51.3"/>
  </r>
  <r>
    <n v="2021"/>
    <x v="12"/>
    <s v="LHR"/>
    <s v="CDG"/>
    <n v="344"/>
    <s v="Europe"/>
    <s v="Air France, British Airways"/>
    <n v="4.18"/>
    <n v="34"/>
    <n v="13"/>
    <n v="140.5"/>
  </r>
  <r>
    <n v="2022"/>
    <x v="12"/>
    <s v="LHR"/>
    <s v="CDG"/>
    <n v="344"/>
    <s v="Europe"/>
    <s v="Air France, British Airways"/>
    <n v="6.62"/>
    <n v="45"/>
    <n v="21"/>
    <n v="298.7"/>
  </r>
  <r>
    <n v="2023"/>
    <x v="12"/>
    <s v="LHR"/>
    <s v="CDG"/>
    <n v="344"/>
    <s v="Europe"/>
    <s v="Air France, British Airways"/>
    <n v="8.56"/>
    <n v="63"/>
    <n v="25"/>
    <n v="537.4"/>
  </r>
  <r>
    <n v="2024"/>
    <x v="12"/>
    <s v="LHR"/>
    <s v="CDG"/>
    <n v="344"/>
    <s v="Europe"/>
    <s v="Air France, British Airways"/>
    <n v="9.09"/>
    <n v="67"/>
    <n v="27"/>
    <n v="605.5"/>
  </r>
  <r>
    <n v="2025"/>
    <x v="12"/>
    <s v="LHR"/>
    <s v="CDG"/>
    <n v="344"/>
    <s v="Europe"/>
    <s v="Air France, British Airways"/>
    <n v="9.4499999999999993"/>
    <n v="67"/>
    <n v="27"/>
    <n v="629.70000000000005"/>
  </r>
  <r>
    <n v="2026"/>
    <x v="12"/>
    <s v="LHR"/>
    <s v="CDG"/>
    <n v="344"/>
    <s v="Europe"/>
    <s v="Air France, British Airways"/>
    <n v="9.32"/>
    <n v="72"/>
    <n v="27"/>
    <n v="674.6"/>
  </r>
  <r>
    <n v="2015"/>
    <x v="13"/>
    <s v="FRA"/>
    <s v="JFK"/>
    <n v="6201"/>
    <s v="Atlantic"/>
    <s v="Lufthansa, United"/>
    <n v="2.2200000000000002"/>
    <n v="244"/>
    <n v="8"/>
    <n v="541.4"/>
  </r>
  <r>
    <n v="2018"/>
    <x v="13"/>
    <s v="FRA"/>
    <s v="JFK"/>
    <n v="6201"/>
    <s v="Atlantic"/>
    <s v="Lufthansa, United"/>
    <n v="2.4"/>
    <n v="276"/>
    <n v="7"/>
    <n v="663.4"/>
  </r>
  <r>
    <n v="2019"/>
    <x v="13"/>
    <s v="FRA"/>
    <s v="JFK"/>
    <n v="6201"/>
    <s v="Atlantic"/>
    <s v="Lufthansa, United"/>
    <n v="2.38"/>
    <n v="284"/>
    <n v="8"/>
    <n v="675.8"/>
  </r>
  <r>
    <n v="2020"/>
    <x v="13"/>
    <s v="FRA"/>
    <s v="JFK"/>
    <n v="6201"/>
    <s v="Atlantic"/>
    <s v="Lufthansa, United"/>
    <n v="0.72"/>
    <n v="96"/>
    <n v="3"/>
    <n v="68.5"/>
  </r>
  <r>
    <n v="2021"/>
    <x v="13"/>
    <s v="FRA"/>
    <s v="JFK"/>
    <n v="6201"/>
    <s v="Atlantic"/>
    <s v="Lufthansa, United"/>
    <n v="1.26"/>
    <n v="152"/>
    <n v="4"/>
    <n v="191.2"/>
  </r>
  <r>
    <n v="2022"/>
    <x v="13"/>
    <s v="FRA"/>
    <s v="JFK"/>
    <n v="6201"/>
    <s v="Atlantic"/>
    <s v="Lufthansa, United"/>
    <n v="1.88"/>
    <n v="235"/>
    <n v="4"/>
    <n v="443.5"/>
  </r>
  <r>
    <n v="2023"/>
    <x v="13"/>
    <s v="FRA"/>
    <s v="JFK"/>
    <n v="6201"/>
    <s v="Atlantic"/>
    <s v="Lufthansa, United"/>
    <n v="2.38"/>
    <n v="270"/>
    <n v="7"/>
    <n v="643.6"/>
  </r>
  <r>
    <n v="2024"/>
    <x v="13"/>
    <s v="FRA"/>
    <s v="JFK"/>
    <n v="6201"/>
    <s v="Atlantic"/>
    <s v="Lufthansa, United"/>
    <n v="2.81"/>
    <n v="310"/>
    <n v="7"/>
    <n v="871"/>
  </r>
  <r>
    <n v="2025"/>
    <x v="13"/>
    <s v="FRA"/>
    <s v="JFK"/>
    <n v="6201"/>
    <s v="Atlantic"/>
    <s v="Lufthansa, United"/>
    <n v="2.7"/>
    <n v="336"/>
    <n v="9"/>
    <n v="904.8"/>
  </r>
  <r>
    <n v="2026"/>
    <x v="13"/>
    <s v="FRA"/>
    <s v="JFK"/>
    <n v="6201"/>
    <s v="Atlantic"/>
    <s v="Lufthansa, United"/>
    <n v="2.91"/>
    <n v="326"/>
    <n v="9"/>
    <n v="949.5"/>
  </r>
  <r>
    <n v="2015"/>
    <x v="14"/>
    <s v="MAD"/>
    <s v="EZE"/>
    <n v="10056"/>
    <s v="Atlantic"/>
    <s v="Iberia, Aerolineas Argentinas"/>
    <n v="1.25"/>
    <n v="363"/>
    <n v="5"/>
    <n v="454.6"/>
  </r>
  <r>
    <n v="2018"/>
    <x v="14"/>
    <s v="MAD"/>
    <s v="EZE"/>
    <n v="10056"/>
    <s v="Atlantic"/>
    <s v="Iberia, Aerolineas Argentinas"/>
    <n v="1.28"/>
    <n v="451"/>
    <n v="3"/>
    <n v="578.70000000000005"/>
  </r>
  <r>
    <n v="2019"/>
    <x v="14"/>
    <s v="MAD"/>
    <s v="EZE"/>
    <n v="10056"/>
    <s v="Atlantic"/>
    <s v="Iberia, Aerolineas Argentinas"/>
    <n v="1.47"/>
    <n v="501"/>
    <n v="3"/>
    <n v="736.8"/>
  </r>
  <r>
    <n v="2020"/>
    <x v="14"/>
    <s v="MAD"/>
    <s v="EZE"/>
    <n v="10056"/>
    <s v="Atlantic"/>
    <s v="Iberia, Aerolineas Argentinas"/>
    <n v="0.44"/>
    <n v="135"/>
    <n v="1"/>
    <n v="58.8"/>
  </r>
  <r>
    <n v="2021"/>
    <x v="14"/>
    <s v="MAD"/>
    <s v="EZE"/>
    <n v="10056"/>
    <s v="Atlantic"/>
    <s v="Iberia, Aerolineas Argentinas"/>
    <n v="0.73"/>
    <n v="206"/>
    <n v="1"/>
    <n v="151.19999999999999"/>
  </r>
  <r>
    <n v="2022"/>
    <x v="14"/>
    <s v="MAD"/>
    <s v="EZE"/>
    <n v="10056"/>
    <s v="Atlantic"/>
    <s v="Iberia, Aerolineas Argentinas"/>
    <n v="1.18"/>
    <n v="341"/>
    <n v="3"/>
    <n v="402.4"/>
  </r>
  <r>
    <n v="2023"/>
    <x v="14"/>
    <s v="MAD"/>
    <s v="EZE"/>
    <n v="10056"/>
    <s v="Atlantic"/>
    <s v="Iberia, Aerolineas Argentinas"/>
    <n v="1.41"/>
    <n v="413"/>
    <n v="5"/>
    <n v="580.9"/>
  </r>
  <r>
    <n v="2024"/>
    <x v="14"/>
    <s v="MAD"/>
    <s v="EZE"/>
    <n v="10056"/>
    <s v="Atlantic"/>
    <s v="Iberia, Aerolineas Argentinas"/>
    <n v="1.56"/>
    <n v="462"/>
    <n v="5"/>
    <n v="721"/>
  </r>
  <r>
    <n v="2025"/>
    <x v="14"/>
    <s v="MAD"/>
    <s v="EZE"/>
    <n v="10056"/>
    <s v="Atlantic"/>
    <s v="Iberia, Aerolineas Argentinas"/>
    <n v="1.6"/>
    <n v="480"/>
    <n v="4"/>
    <n v="767.5"/>
  </r>
  <r>
    <n v="2026"/>
    <x v="14"/>
    <s v="MAD"/>
    <s v="EZE"/>
    <n v="10056"/>
    <s v="Atlantic"/>
    <s v="Iberia, Aerolineas Argentinas"/>
    <n v="1.68"/>
    <n v="514"/>
    <n v="7"/>
    <n v="862.1"/>
  </r>
  <r>
    <n v="2015"/>
    <x v="15"/>
    <s v="CDG"/>
    <s v="DXB"/>
    <n v="5252"/>
    <s v="Europe-ME"/>
    <s v="Emirates, Air France"/>
    <n v="0.89"/>
    <n v="225"/>
    <n v="2"/>
    <n v="201.6"/>
  </r>
  <r>
    <n v="2018"/>
    <x v="15"/>
    <s v="CDG"/>
    <s v="DXB"/>
    <n v="5252"/>
    <s v="Europe-ME"/>
    <s v="Emirates, Air France"/>
    <n v="1.1000000000000001"/>
    <n v="251"/>
    <n v="3"/>
    <n v="276.10000000000002"/>
  </r>
  <r>
    <n v="2019"/>
    <x v="15"/>
    <s v="CDG"/>
    <s v="DXB"/>
    <n v="5252"/>
    <s v="Europe-ME"/>
    <s v="Emirates, Air France"/>
    <n v="1.1499999999999999"/>
    <n v="270"/>
    <n v="2"/>
    <n v="311.5"/>
  </r>
  <r>
    <n v="2020"/>
    <x v="15"/>
    <s v="CDG"/>
    <s v="DXB"/>
    <n v="5252"/>
    <s v="Europe-ME"/>
    <s v="Emirates, Air France"/>
    <n v="0.33"/>
    <n v="94"/>
    <n v="1"/>
    <n v="31.3"/>
  </r>
  <r>
    <n v="2021"/>
    <x v="15"/>
    <s v="CDG"/>
    <s v="DXB"/>
    <n v="5252"/>
    <s v="Europe-ME"/>
    <s v="Emirates, Air France"/>
    <n v="0.57999999999999996"/>
    <n v="119"/>
    <n v="1"/>
    <n v="69"/>
  </r>
  <r>
    <n v="2022"/>
    <x v="15"/>
    <s v="CDG"/>
    <s v="DXB"/>
    <n v="5252"/>
    <s v="Europe-ME"/>
    <s v="Emirates, Air France"/>
    <n v="0.84"/>
    <n v="190"/>
    <n v="3"/>
    <n v="158.80000000000001"/>
  </r>
  <r>
    <n v="2023"/>
    <x v="15"/>
    <s v="CDG"/>
    <s v="DXB"/>
    <n v="5252"/>
    <s v="Europe-ME"/>
    <s v="Emirates, Air France"/>
    <n v="1.1200000000000001"/>
    <n v="256"/>
    <n v="1"/>
    <n v="286.3"/>
  </r>
  <r>
    <n v="2024"/>
    <x v="15"/>
    <s v="CDG"/>
    <s v="DXB"/>
    <n v="5252"/>
    <s v="Europe-ME"/>
    <s v="Emirates, Air France"/>
    <n v="1.31"/>
    <n v="254"/>
    <n v="5"/>
    <n v="332.4"/>
  </r>
  <r>
    <n v="2025"/>
    <x v="15"/>
    <s v="CDG"/>
    <s v="DXB"/>
    <n v="5252"/>
    <s v="Europe-ME"/>
    <s v="Emirates, Air France"/>
    <n v="1.33"/>
    <n v="296"/>
    <n v="3"/>
    <n v="392.6"/>
  </r>
  <r>
    <n v="2026"/>
    <x v="15"/>
    <s v="CDG"/>
    <s v="DXB"/>
    <n v="5252"/>
    <s v="Europe-ME"/>
    <s v="Emirates, Air France"/>
    <n v="1.3"/>
    <n v="283"/>
    <n v="3"/>
    <n v="369.1"/>
  </r>
  <r>
    <n v="2015"/>
    <x v="16"/>
    <s v="ATL"/>
    <s v="LAX"/>
    <n v="3127"/>
    <s v="North America"/>
    <s v="Delta, American"/>
    <n v="2.93"/>
    <n v="159"/>
    <n v="8"/>
    <n v="465.9"/>
  </r>
  <r>
    <n v="2018"/>
    <x v="16"/>
    <s v="ATL"/>
    <s v="LAX"/>
    <n v="3127"/>
    <s v="North America"/>
    <s v="Delta, American"/>
    <n v="3.48"/>
    <n v="161"/>
    <n v="10"/>
    <n v="559.79999999999995"/>
  </r>
  <r>
    <n v="2019"/>
    <x v="16"/>
    <s v="ATL"/>
    <s v="LAX"/>
    <n v="3127"/>
    <s v="North America"/>
    <s v="Delta, American"/>
    <n v="3.6"/>
    <n v="153"/>
    <n v="11"/>
    <n v="551.20000000000005"/>
  </r>
  <r>
    <n v="2020"/>
    <x v="16"/>
    <s v="ATL"/>
    <s v="LAX"/>
    <n v="3127"/>
    <s v="North America"/>
    <s v="Delta, American"/>
    <n v="1.1399999999999999"/>
    <n v="52"/>
    <n v="2"/>
    <n v="59.4"/>
  </r>
  <r>
    <n v="2021"/>
    <x v="16"/>
    <s v="ATL"/>
    <s v="LAX"/>
    <n v="3127"/>
    <s v="North America"/>
    <s v="Delta, American"/>
    <n v="1.87"/>
    <n v="80"/>
    <n v="4"/>
    <n v="150.30000000000001"/>
  </r>
  <r>
    <n v="2022"/>
    <x v="16"/>
    <s v="ATL"/>
    <s v="LAX"/>
    <n v="3127"/>
    <s v="North America"/>
    <s v="Delta, American"/>
    <n v="2.72"/>
    <n v="138"/>
    <n v="7"/>
    <n v="375.6"/>
  </r>
  <r>
    <n v="2023"/>
    <x v="16"/>
    <s v="ATL"/>
    <s v="LAX"/>
    <n v="3127"/>
    <s v="North America"/>
    <s v="Delta, American"/>
    <n v="3.49"/>
    <n v="187"/>
    <n v="10"/>
    <n v="652"/>
  </r>
  <r>
    <n v="2024"/>
    <x v="16"/>
    <s v="ATL"/>
    <s v="LAX"/>
    <n v="3127"/>
    <s v="North America"/>
    <s v="Delta, American"/>
    <n v="3.98"/>
    <n v="180"/>
    <n v="11"/>
    <n v="714.9"/>
  </r>
  <r>
    <n v="2025"/>
    <x v="16"/>
    <s v="ATL"/>
    <s v="LAX"/>
    <n v="3127"/>
    <s v="North America"/>
    <s v="Delta, American"/>
    <n v="3.77"/>
    <n v="204"/>
    <n v="11"/>
    <n v="768.6"/>
  </r>
  <r>
    <n v="2026"/>
    <x v="16"/>
    <s v="ATL"/>
    <s v="LAX"/>
    <n v="3127"/>
    <s v="North America"/>
    <s v="Delta, American"/>
    <n v="4.1500000000000004"/>
    <n v="194"/>
    <n v="13"/>
    <n v="808"/>
  </r>
  <r>
    <n v="2015"/>
    <x v="17"/>
    <s v="JFK"/>
    <s v="LAX"/>
    <n v="3974"/>
    <s v="North America"/>
    <s v="Delta, JetBlue, American, United"/>
    <n v="2.06"/>
    <n v="166"/>
    <n v="7"/>
    <n v="342.5"/>
  </r>
  <r>
    <n v="2018"/>
    <x v="17"/>
    <s v="JFK"/>
    <s v="LAX"/>
    <n v="3974"/>
    <s v="North America"/>
    <s v="Delta, JetBlue, American, United"/>
    <n v="2.4500000000000002"/>
    <n v="174"/>
    <n v="5"/>
    <n v="425.6"/>
  </r>
  <r>
    <n v="2019"/>
    <x v="17"/>
    <s v="JFK"/>
    <s v="LAX"/>
    <n v="3974"/>
    <s v="North America"/>
    <s v="Delta, JetBlue, American, United"/>
    <n v="2.4700000000000002"/>
    <n v="203"/>
    <n v="6"/>
    <n v="502.5"/>
  </r>
  <r>
    <n v="2020"/>
    <x v="17"/>
    <s v="JFK"/>
    <s v="LAX"/>
    <n v="3974"/>
    <s v="North America"/>
    <s v="Delta, JetBlue, American, United"/>
    <n v="0.81"/>
    <n v="64"/>
    <n v="2"/>
    <n v="51.5"/>
  </r>
  <r>
    <n v="2021"/>
    <x v="17"/>
    <s v="JFK"/>
    <s v="LAX"/>
    <n v="3974"/>
    <s v="North America"/>
    <s v="Delta, JetBlue, American, United"/>
    <n v="1.21"/>
    <n v="109"/>
    <n v="3"/>
    <n v="132"/>
  </r>
  <r>
    <n v="2022"/>
    <x v="17"/>
    <s v="JFK"/>
    <s v="LAX"/>
    <n v="3974"/>
    <s v="North America"/>
    <s v="Delta, JetBlue, American, United"/>
    <n v="1.84"/>
    <n v="163"/>
    <n v="3"/>
    <n v="299.8"/>
  </r>
  <r>
    <n v="2023"/>
    <x v="17"/>
    <s v="JFK"/>
    <s v="LAX"/>
    <n v="3974"/>
    <s v="North America"/>
    <s v="Delta, JetBlue, American, United"/>
    <n v="2.52"/>
    <n v="201"/>
    <n v="8"/>
    <n v="505.4"/>
  </r>
  <r>
    <n v="2024"/>
    <x v="17"/>
    <s v="JFK"/>
    <s v="LAX"/>
    <n v="3974"/>
    <s v="North America"/>
    <s v="Delta, JetBlue, American, United"/>
    <n v="2.5"/>
    <n v="208"/>
    <n v="6"/>
    <n v="519.20000000000005"/>
  </r>
  <r>
    <n v="2025"/>
    <x v="17"/>
    <s v="JFK"/>
    <s v="LAX"/>
    <n v="3974"/>
    <s v="North America"/>
    <s v="Delta, JetBlue, American, United"/>
    <n v="2.76"/>
    <n v="231"/>
    <n v="7"/>
    <n v="637.70000000000005"/>
  </r>
  <r>
    <n v="2026"/>
    <x v="17"/>
    <s v="JFK"/>
    <s v="LAX"/>
    <n v="3974"/>
    <s v="North America"/>
    <s v="Delta, JetBlue, American, United"/>
    <n v="2.67"/>
    <n v="217"/>
    <n v="7"/>
    <n v="580.20000000000005"/>
  </r>
  <r>
    <n v="2015"/>
    <x v="18"/>
    <s v="ORD"/>
    <s v="LGA"/>
    <n v="1190"/>
    <s v="North America"/>
    <s v="United, American, Delta"/>
    <n v="5.44"/>
    <n v="91"/>
    <n v="16"/>
    <n v="495.1"/>
  </r>
  <r>
    <n v="2018"/>
    <x v="18"/>
    <s v="ORD"/>
    <s v="LGA"/>
    <n v="1190"/>
    <s v="North America"/>
    <s v="United, American, Delta"/>
    <n v="6.57"/>
    <n v="90"/>
    <n v="19"/>
    <n v="590.4"/>
  </r>
  <r>
    <n v="2019"/>
    <x v="18"/>
    <s v="ORD"/>
    <s v="LGA"/>
    <n v="1190"/>
    <s v="North America"/>
    <s v="United, American, Delta"/>
    <n v="6.56"/>
    <n v="88"/>
    <n v="21"/>
    <n v="578.5"/>
  </r>
  <r>
    <n v="2020"/>
    <x v="18"/>
    <s v="ORD"/>
    <s v="LGA"/>
    <n v="1190"/>
    <s v="North America"/>
    <s v="United, American, Delta"/>
    <n v="1.96"/>
    <n v="31"/>
    <n v="5"/>
    <n v="60.1"/>
  </r>
  <r>
    <n v="2021"/>
    <x v="18"/>
    <s v="ORD"/>
    <s v="LGA"/>
    <n v="1190"/>
    <s v="North America"/>
    <s v="United, American, Delta"/>
    <n v="3.27"/>
    <n v="46"/>
    <n v="11"/>
    <n v="151.4"/>
  </r>
  <r>
    <n v="2022"/>
    <x v="18"/>
    <s v="ORD"/>
    <s v="LGA"/>
    <n v="1190"/>
    <s v="North America"/>
    <s v="United, American, Delta"/>
    <n v="4.99"/>
    <n v="75"/>
    <n v="16"/>
    <n v="373.8"/>
  </r>
  <r>
    <n v="2023"/>
    <x v="18"/>
    <s v="ORD"/>
    <s v="LGA"/>
    <n v="1190"/>
    <s v="North America"/>
    <s v="United, American, Delta"/>
    <n v="6.54"/>
    <n v="97"/>
    <n v="18"/>
    <n v="635.29999999999995"/>
  </r>
  <r>
    <n v="2024"/>
    <x v="18"/>
    <s v="ORD"/>
    <s v="LGA"/>
    <n v="1190"/>
    <s v="North America"/>
    <s v="United, American, Delta"/>
    <n v="6.72"/>
    <n v="96"/>
    <n v="20"/>
    <n v="648.1"/>
  </r>
  <r>
    <n v="2025"/>
    <x v="18"/>
    <s v="ORD"/>
    <s v="LGA"/>
    <n v="1190"/>
    <s v="North America"/>
    <s v="United, American, Delta"/>
    <n v="7.28"/>
    <n v="99"/>
    <n v="21"/>
    <n v="719.5"/>
  </r>
  <r>
    <n v="2026"/>
    <x v="18"/>
    <s v="ORD"/>
    <s v="LGA"/>
    <n v="1190"/>
    <s v="North America"/>
    <s v="United, American, Delta"/>
    <n v="6.94"/>
    <n v="109"/>
    <n v="19"/>
    <n v="756.1"/>
  </r>
  <r>
    <n v="2015"/>
    <x v="19"/>
    <s v="YYZ"/>
    <s v="YVR"/>
    <n v="3358"/>
    <s v="North America"/>
    <s v="Air Canada, WestJet"/>
    <n v="2.59"/>
    <n v="176"/>
    <n v="8"/>
    <n v="454.6"/>
  </r>
  <r>
    <n v="2018"/>
    <x v="19"/>
    <s v="YYZ"/>
    <s v="YVR"/>
    <n v="3358"/>
    <s v="North America"/>
    <s v="Air Canada, WestJet"/>
    <n v="2.8"/>
    <n v="184"/>
    <n v="7"/>
    <n v="515.1"/>
  </r>
  <r>
    <n v="2019"/>
    <x v="19"/>
    <s v="YYZ"/>
    <s v="YVR"/>
    <n v="3358"/>
    <s v="North America"/>
    <s v="Air Canada, WestJet"/>
    <n v="2.89"/>
    <n v="188"/>
    <n v="6"/>
    <n v="542.6"/>
  </r>
  <r>
    <n v="2020"/>
    <x v="19"/>
    <s v="YYZ"/>
    <s v="YVR"/>
    <n v="3358"/>
    <s v="North America"/>
    <s v="Air Canada, WestJet"/>
    <n v="0.9"/>
    <n v="52"/>
    <n v="2"/>
    <n v="46.7"/>
  </r>
  <r>
    <n v="2021"/>
    <x v="19"/>
    <s v="YYZ"/>
    <s v="YVR"/>
    <n v="3358"/>
    <s v="North America"/>
    <s v="Air Canada, WestJet"/>
    <n v="1.44"/>
    <n v="95"/>
    <n v="4"/>
    <n v="135.80000000000001"/>
  </r>
  <r>
    <n v="2022"/>
    <x v="19"/>
    <s v="YYZ"/>
    <s v="YVR"/>
    <n v="3358"/>
    <s v="North America"/>
    <s v="Air Canada, WestJet"/>
    <n v="2.38"/>
    <n v="138"/>
    <n v="6"/>
    <n v="328.9"/>
  </r>
  <r>
    <n v="2023"/>
    <x v="19"/>
    <s v="YYZ"/>
    <s v="YVR"/>
    <n v="3358"/>
    <s v="North America"/>
    <s v="Air Canada, WestJet"/>
    <n v="2.82"/>
    <n v="162"/>
    <n v="8"/>
    <n v="455.6"/>
  </r>
  <r>
    <n v="2024"/>
    <x v="19"/>
    <s v="YYZ"/>
    <s v="YVR"/>
    <n v="3358"/>
    <s v="North America"/>
    <s v="Air Canada, WestJet"/>
    <n v="3.22"/>
    <n v="224"/>
    <n v="9"/>
    <n v="723.5"/>
  </r>
  <r>
    <n v="2025"/>
    <x v="19"/>
    <s v="YYZ"/>
    <s v="YVR"/>
    <n v="3358"/>
    <s v="North America"/>
    <s v="Air Canada, WestJet"/>
    <n v="3.26"/>
    <n v="196"/>
    <n v="10"/>
    <n v="639.20000000000005"/>
  </r>
  <r>
    <n v="2026"/>
    <x v="19"/>
    <s v="YYZ"/>
    <s v="YVR"/>
    <n v="3358"/>
    <s v="North America"/>
    <s v="Air Canada, WestJet"/>
    <n v="3.41"/>
    <n v="206"/>
    <n v="11"/>
    <n v="701.7"/>
  </r>
  <r>
    <n v="2015"/>
    <x v="20"/>
    <s v="MEX"/>
    <s v="CUN"/>
    <n v="1281"/>
    <s v="Latin America"/>
    <s v="Aeromexico, Volaris, VivaAerobus"/>
    <n v="7.06"/>
    <n v="89"/>
    <n v="21"/>
    <n v="627.4"/>
  </r>
  <r>
    <n v="2018"/>
    <x v="20"/>
    <s v="MEX"/>
    <s v="CUN"/>
    <n v="1281"/>
    <s v="Latin America"/>
    <s v="Aeromexico, Volaris, VivaAerobus"/>
    <n v="7.49"/>
    <n v="111"/>
    <n v="21"/>
    <n v="833.2"/>
  </r>
  <r>
    <n v="2019"/>
    <x v="20"/>
    <s v="MEX"/>
    <s v="CUN"/>
    <n v="1281"/>
    <s v="Latin America"/>
    <s v="Aeromexico, Volaris, VivaAerobus"/>
    <n v="8.08"/>
    <n v="97"/>
    <n v="26"/>
    <n v="782"/>
  </r>
  <r>
    <n v="2020"/>
    <x v="20"/>
    <s v="MEX"/>
    <s v="CUN"/>
    <n v="1281"/>
    <s v="Latin America"/>
    <s v="Aeromexico, Volaris, VivaAerobus"/>
    <n v="2.48"/>
    <n v="29"/>
    <n v="7"/>
    <n v="72.400000000000006"/>
  </r>
  <r>
    <n v="2021"/>
    <x v="20"/>
    <s v="MEX"/>
    <s v="CUN"/>
    <n v="1281"/>
    <s v="Latin America"/>
    <s v="Aeromexico, Volaris, VivaAerobus"/>
    <n v="4.03"/>
    <n v="49"/>
    <n v="12"/>
    <n v="197.9"/>
  </r>
  <r>
    <n v="2022"/>
    <x v="20"/>
    <s v="MEX"/>
    <s v="CUN"/>
    <n v="1281"/>
    <s v="Latin America"/>
    <s v="Aeromexico, Volaris, VivaAerobus"/>
    <n v="6.08"/>
    <n v="77"/>
    <n v="18"/>
    <n v="467.8"/>
  </r>
  <r>
    <n v="2023"/>
    <x v="20"/>
    <s v="MEX"/>
    <s v="CUN"/>
    <n v="1281"/>
    <s v="Latin America"/>
    <s v="Aeromexico, Volaris, VivaAerobus"/>
    <n v="7.72"/>
    <n v="98"/>
    <n v="23"/>
    <n v="752.5"/>
  </r>
  <r>
    <n v="2024"/>
    <x v="20"/>
    <s v="MEX"/>
    <s v="CUN"/>
    <n v="1281"/>
    <s v="Latin America"/>
    <s v="Aeromexico, Volaris, VivaAerobus"/>
    <n v="8.17"/>
    <n v="118"/>
    <n v="23"/>
    <n v="961.5"/>
  </r>
  <r>
    <n v="2025"/>
    <x v="20"/>
    <s v="MEX"/>
    <s v="CUN"/>
    <n v="1281"/>
    <s v="Latin America"/>
    <s v="Aeromexico, Volaris, VivaAerobus"/>
    <n v="8.93"/>
    <n v="109"/>
    <n v="28"/>
    <n v="976"/>
  </r>
  <r>
    <n v="2026"/>
    <x v="20"/>
    <s v="MEX"/>
    <s v="CUN"/>
    <n v="1281"/>
    <s v="Latin America"/>
    <s v="Aeromexico, Volaris, VivaAerobus"/>
    <n v="8.6199999999999992"/>
    <n v="108"/>
    <n v="24"/>
    <n v="935.7"/>
  </r>
  <r>
    <n v="2015"/>
    <x v="21"/>
    <s v="GRU"/>
    <s v="GIG"/>
    <n v="360"/>
    <s v="Latin America"/>
    <s v="LATAM, GOL, Azul"/>
    <n v="5.29"/>
    <n v="53"/>
    <n v="13"/>
    <n v="281.39999999999998"/>
  </r>
  <r>
    <n v="2018"/>
    <x v="21"/>
    <s v="GRU"/>
    <s v="GIG"/>
    <n v="360"/>
    <s v="Latin America"/>
    <s v="LATAM, GOL, Azul"/>
    <n v="6.31"/>
    <n v="59"/>
    <n v="17"/>
    <n v="374.5"/>
  </r>
  <r>
    <n v="2019"/>
    <x v="21"/>
    <s v="GRU"/>
    <s v="GIG"/>
    <n v="360"/>
    <s v="Latin America"/>
    <s v="LATAM, GOL, Azul"/>
    <n v="6.87"/>
    <n v="60"/>
    <n v="21"/>
    <n v="408.9"/>
  </r>
  <r>
    <n v="2020"/>
    <x v="21"/>
    <s v="GRU"/>
    <s v="GIG"/>
    <n v="360"/>
    <s v="Latin America"/>
    <s v="LATAM, GOL, Azul"/>
    <n v="1.92"/>
    <n v="21"/>
    <n v="6"/>
    <n v="40.799999999999997"/>
  </r>
  <r>
    <n v="2021"/>
    <x v="21"/>
    <s v="GRU"/>
    <s v="GIG"/>
    <n v="360"/>
    <s v="Latin America"/>
    <s v="LATAM, GOL, Azul"/>
    <n v="3.16"/>
    <n v="30"/>
    <n v="10"/>
    <n v="96.3"/>
  </r>
  <r>
    <n v="2022"/>
    <x v="21"/>
    <s v="GRU"/>
    <s v="GIG"/>
    <n v="360"/>
    <s v="Latin America"/>
    <s v="LATAM, GOL, Azul"/>
    <n v="4.88"/>
    <n v="48"/>
    <n v="15"/>
    <n v="233.4"/>
  </r>
  <r>
    <n v="2023"/>
    <x v="21"/>
    <s v="GRU"/>
    <s v="GIG"/>
    <n v="360"/>
    <s v="Latin America"/>
    <s v="LATAM, GOL, Azul"/>
    <n v="6.06"/>
    <n v="62"/>
    <n v="19"/>
    <n v="373"/>
  </r>
  <r>
    <n v="2024"/>
    <x v="21"/>
    <s v="GRU"/>
    <s v="GIG"/>
    <n v="360"/>
    <s v="Latin America"/>
    <s v="LATAM, GOL, Azul"/>
    <n v="7.13"/>
    <n v="67"/>
    <n v="21"/>
    <n v="477.7"/>
  </r>
  <r>
    <n v="2025"/>
    <x v="21"/>
    <s v="GRU"/>
    <s v="GIG"/>
    <n v="360"/>
    <s v="Latin America"/>
    <s v="LATAM, GOL, Azul"/>
    <n v="6.75"/>
    <n v="66"/>
    <n v="20"/>
    <n v="448.7"/>
  </r>
  <r>
    <n v="2026"/>
    <x v="21"/>
    <s v="GRU"/>
    <s v="GIG"/>
    <n v="360"/>
    <s v="Latin America"/>
    <s v="LATAM, GOL, Azul"/>
    <n v="7.33"/>
    <n v="72"/>
    <n v="23"/>
    <n v="530.70000000000005"/>
  </r>
  <r>
    <n v="2015"/>
    <x v="22"/>
    <s v="BOG"/>
    <s v="LIM"/>
    <n v="1881"/>
    <s v="Latin America"/>
    <s v="Avianca, LATAM"/>
    <n v="5"/>
    <n v="108"/>
    <n v="14"/>
    <n v="537.9"/>
  </r>
  <r>
    <n v="2018"/>
    <x v="22"/>
    <s v="BOG"/>
    <s v="LIM"/>
    <n v="1881"/>
    <s v="Latin America"/>
    <s v="Avianca, LATAM"/>
    <n v="5.97"/>
    <n v="126"/>
    <n v="18"/>
    <n v="750"/>
  </r>
  <r>
    <n v="2019"/>
    <x v="22"/>
    <s v="BOG"/>
    <s v="LIM"/>
    <n v="1881"/>
    <s v="Latin America"/>
    <s v="Avianca, LATAM"/>
    <n v="6.38"/>
    <n v="114"/>
    <n v="19"/>
    <n v="729.8"/>
  </r>
  <r>
    <n v="2020"/>
    <x v="22"/>
    <s v="BOG"/>
    <s v="LIM"/>
    <n v="1881"/>
    <s v="Latin America"/>
    <s v="Avianca, LATAM"/>
    <n v="1.81"/>
    <n v="36"/>
    <n v="5"/>
    <n v="64.2"/>
  </r>
  <r>
    <n v="2021"/>
    <x v="22"/>
    <s v="BOG"/>
    <s v="LIM"/>
    <n v="1881"/>
    <s v="Latin America"/>
    <s v="Avianca, LATAM"/>
    <n v="2.84"/>
    <n v="65"/>
    <n v="9"/>
    <n v="185.3"/>
  </r>
  <r>
    <n v="2022"/>
    <x v="22"/>
    <s v="BOG"/>
    <s v="LIM"/>
    <n v="1881"/>
    <s v="Latin America"/>
    <s v="Avianca, LATAM"/>
    <n v="4.5"/>
    <n v="84"/>
    <n v="12"/>
    <n v="378.1"/>
  </r>
  <r>
    <n v="2023"/>
    <x v="22"/>
    <s v="BOG"/>
    <s v="LIM"/>
    <n v="1881"/>
    <s v="Latin America"/>
    <s v="Avianca, LATAM"/>
    <n v="5.77"/>
    <n v="119"/>
    <n v="14"/>
    <n v="686.9"/>
  </r>
  <r>
    <n v="2024"/>
    <x v="22"/>
    <s v="BOG"/>
    <s v="LIM"/>
    <n v="1881"/>
    <s v="Latin America"/>
    <s v="Avianca, LATAM"/>
    <n v="6.55"/>
    <n v="133"/>
    <n v="18"/>
    <n v="868.2"/>
  </r>
  <r>
    <n v="2025"/>
    <x v="22"/>
    <s v="BOG"/>
    <s v="LIM"/>
    <n v="1881"/>
    <s v="Latin America"/>
    <s v="Avianca, LATAM"/>
    <n v="6.79"/>
    <n v="132"/>
    <n v="19"/>
    <n v="898.4"/>
  </r>
  <r>
    <n v="2026"/>
    <x v="22"/>
    <s v="BOG"/>
    <s v="LIM"/>
    <n v="1881"/>
    <s v="Latin America"/>
    <s v="Avianca, LATAM"/>
    <n v="6.74"/>
    <n v="156"/>
    <n v="21"/>
    <n v="1052.3"/>
  </r>
  <r>
    <n v="2015"/>
    <x v="23"/>
    <s v="NRT"/>
    <s v="HNL"/>
    <n v="6182"/>
    <s v="Pacific"/>
    <s v="Hawaiian, ANA, JAL"/>
    <n v="2.37"/>
    <n v="265"/>
    <n v="5"/>
    <n v="628.1"/>
  </r>
  <r>
    <n v="2018"/>
    <x v="23"/>
    <s v="NRT"/>
    <s v="HNL"/>
    <n v="6182"/>
    <s v="Pacific"/>
    <s v="Hawaiian, ANA, JAL"/>
    <n v="2.67"/>
    <n v="270"/>
    <n v="8"/>
    <n v="721.2"/>
  </r>
  <r>
    <n v="2019"/>
    <x v="23"/>
    <s v="NRT"/>
    <s v="HNL"/>
    <n v="6182"/>
    <s v="Pacific"/>
    <s v="Hawaiian, ANA, JAL"/>
    <n v="2.71"/>
    <n v="306"/>
    <n v="8"/>
    <n v="831.1"/>
  </r>
  <r>
    <n v="2020"/>
    <x v="23"/>
    <s v="NRT"/>
    <s v="HNL"/>
    <n v="6182"/>
    <s v="Pacific"/>
    <s v="Hawaiian, ANA, JAL"/>
    <n v="0.73"/>
    <n v="90"/>
    <n v="2"/>
    <n v="65.5"/>
  </r>
  <r>
    <n v="2021"/>
    <x v="23"/>
    <s v="NRT"/>
    <s v="HNL"/>
    <n v="6182"/>
    <s v="Pacific"/>
    <s v="Hawaiian, ANA, JAL"/>
    <n v="1.39"/>
    <n v="148"/>
    <n v="5"/>
    <n v="205.9"/>
  </r>
  <r>
    <n v="2022"/>
    <x v="23"/>
    <s v="NRT"/>
    <s v="HNL"/>
    <n v="6182"/>
    <s v="Pacific"/>
    <s v="Hawaiian, ANA, JAL"/>
    <n v="2.08"/>
    <n v="229"/>
    <n v="7"/>
    <n v="475.9"/>
  </r>
  <r>
    <n v="2023"/>
    <x v="23"/>
    <s v="NRT"/>
    <s v="HNL"/>
    <n v="6182"/>
    <s v="Pacific"/>
    <s v="Hawaiian, ANA, JAL"/>
    <n v="2.64"/>
    <n v="268"/>
    <n v="5"/>
    <n v="706.2"/>
  </r>
  <r>
    <n v="2024"/>
    <x v="23"/>
    <s v="NRT"/>
    <s v="HNL"/>
    <n v="6182"/>
    <s v="Pacific"/>
    <s v="Hawaiian, ANA, JAL"/>
    <n v="2.82"/>
    <n v="327"/>
    <n v="8"/>
    <n v="921.5"/>
  </r>
  <r>
    <n v="2025"/>
    <x v="23"/>
    <s v="NRT"/>
    <s v="HNL"/>
    <n v="6182"/>
    <s v="Pacific"/>
    <s v="Hawaiian, ANA, JAL"/>
    <n v="3.11"/>
    <n v="330"/>
    <n v="10"/>
    <n v="1026"/>
  </r>
  <r>
    <n v="2026"/>
    <x v="23"/>
    <s v="NRT"/>
    <s v="HNL"/>
    <n v="6182"/>
    <s v="Pacific"/>
    <s v="Hawaiian, ANA, JAL"/>
    <n v="3.03"/>
    <n v="342"/>
    <n v="9"/>
    <n v="1037.7"/>
  </r>
  <r>
    <n v="2015"/>
    <x v="24"/>
    <s v="LAX"/>
    <s v="SYD"/>
    <n v="12057"/>
    <s v="Pacific"/>
    <s v="Qantas, United, American"/>
    <n v="1.06"/>
    <n v="440"/>
    <n v="4"/>
    <n v="465.9"/>
  </r>
  <r>
    <n v="2018"/>
    <x v="24"/>
    <s v="LAX"/>
    <s v="SYD"/>
    <n v="12057"/>
    <s v="Pacific"/>
    <s v="Qantas, United, American"/>
    <n v="1.35"/>
    <n v="513"/>
    <n v="3"/>
    <n v="691.2"/>
  </r>
  <r>
    <n v="2019"/>
    <x v="24"/>
    <s v="LAX"/>
    <s v="SYD"/>
    <n v="12057"/>
    <s v="Pacific"/>
    <s v="Qantas, United, American"/>
    <n v="1.37"/>
    <n v="561"/>
    <n v="3"/>
    <n v="770.6"/>
  </r>
  <r>
    <n v="2020"/>
    <x v="24"/>
    <s v="LAX"/>
    <s v="SYD"/>
    <n v="12057"/>
    <s v="Pacific"/>
    <s v="Qantas, United, American"/>
    <n v="0.41"/>
    <n v="171"/>
    <n v="3"/>
    <n v="69.5"/>
  </r>
  <r>
    <n v="2021"/>
    <x v="24"/>
    <s v="LAX"/>
    <s v="SYD"/>
    <n v="12057"/>
    <s v="Pacific"/>
    <s v="Qantas, United, American"/>
    <n v="0.69"/>
    <n v="267"/>
    <n v="2"/>
    <n v="183.2"/>
  </r>
  <r>
    <n v="2022"/>
    <x v="24"/>
    <s v="LAX"/>
    <s v="SYD"/>
    <n v="12057"/>
    <s v="Pacific"/>
    <s v="Qantas, United, American"/>
    <n v="1.02"/>
    <n v="396"/>
    <n v="3"/>
    <n v="405.3"/>
  </r>
  <r>
    <n v="2023"/>
    <x v="24"/>
    <s v="LAX"/>
    <s v="SYD"/>
    <n v="12057"/>
    <s v="Pacific"/>
    <s v="Qantas, United, American"/>
    <n v="1.21"/>
    <n v="547"/>
    <n v="2"/>
    <n v="663.6"/>
  </r>
  <r>
    <n v="2024"/>
    <x v="24"/>
    <s v="LAX"/>
    <s v="SYD"/>
    <n v="12057"/>
    <s v="Pacific"/>
    <s v="Qantas, United, American"/>
    <n v="1.38"/>
    <n v="562"/>
    <n v="6"/>
    <n v="773.5"/>
  </r>
  <r>
    <n v="2025"/>
    <x v="24"/>
    <s v="LAX"/>
    <s v="SYD"/>
    <n v="12057"/>
    <s v="Pacific"/>
    <s v="Qantas, United, American"/>
    <n v="1.44"/>
    <n v="563"/>
    <n v="3"/>
    <n v="811.2"/>
  </r>
  <r>
    <n v="2026"/>
    <x v="24"/>
    <s v="LAX"/>
    <s v="SYD"/>
    <n v="12057"/>
    <s v="Pacific"/>
    <s v="Qantas, United, American"/>
    <n v="1.6"/>
    <n v="504"/>
    <n v="3"/>
    <n v="803.5"/>
  </r>
  <r>
    <n v="2015"/>
    <x v="25"/>
    <s v="HKG"/>
    <s v="SFO"/>
    <n v="11129"/>
    <s v="Pacific"/>
    <s v="Cathay Pacific, United"/>
    <n v="1.71"/>
    <n v="394"/>
    <n v="5"/>
    <n v="674.1"/>
  </r>
  <r>
    <n v="2018"/>
    <x v="25"/>
    <s v="HKG"/>
    <s v="SFO"/>
    <n v="11129"/>
    <s v="Pacific"/>
    <s v="Cathay Pacific, United"/>
    <n v="1.87"/>
    <n v="495"/>
    <n v="7"/>
    <n v="927"/>
  </r>
  <r>
    <n v="2019"/>
    <x v="25"/>
    <s v="HKG"/>
    <s v="SFO"/>
    <n v="11129"/>
    <s v="Pacific"/>
    <s v="Cathay Pacific, United"/>
    <n v="2"/>
    <n v="479"/>
    <n v="6"/>
    <n v="957.5"/>
  </r>
  <r>
    <n v="2020"/>
    <x v="25"/>
    <s v="HKG"/>
    <s v="SFO"/>
    <n v="11129"/>
    <s v="Pacific"/>
    <s v="Cathay Pacific, United"/>
    <n v="0.56999999999999995"/>
    <n v="140"/>
    <n v="1"/>
    <n v="80.099999999999994"/>
  </r>
  <r>
    <n v="2021"/>
    <x v="25"/>
    <s v="HKG"/>
    <s v="SFO"/>
    <n v="11129"/>
    <s v="Pacific"/>
    <s v="Cathay Pacific, United"/>
    <n v="0.92"/>
    <n v="235"/>
    <n v="1"/>
    <n v="216.7"/>
  </r>
  <r>
    <n v="2022"/>
    <x v="25"/>
    <s v="HKG"/>
    <s v="SFO"/>
    <n v="11129"/>
    <s v="Pacific"/>
    <s v="Cathay Pacific, United"/>
    <n v="1.49"/>
    <n v="346"/>
    <n v="1"/>
    <n v="516.1"/>
  </r>
  <r>
    <n v="2023"/>
    <x v="25"/>
    <s v="HKG"/>
    <s v="SFO"/>
    <n v="11129"/>
    <s v="Pacific"/>
    <s v="Cathay Pacific, United"/>
    <n v="1.79"/>
    <n v="457"/>
    <n v="4"/>
    <n v="819.3"/>
  </r>
  <r>
    <n v="2024"/>
    <x v="25"/>
    <s v="HKG"/>
    <s v="SFO"/>
    <n v="11129"/>
    <s v="Pacific"/>
    <s v="Cathay Pacific, United"/>
    <n v="2.19"/>
    <n v="501"/>
    <n v="7"/>
    <n v="1099.5999999999999"/>
  </r>
  <r>
    <n v="2025"/>
    <x v="25"/>
    <s v="HKG"/>
    <s v="SFO"/>
    <n v="11129"/>
    <s v="Pacific"/>
    <s v="Cathay Pacific, United"/>
    <n v="2.16"/>
    <n v="543"/>
    <n v="5"/>
    <n v="1174.3"/>
  </r>
  <r>
    <n v="2026"/>
    <x v="25"/>
    <s v="HKG"/>
    <s v="SFO"/>
    <n v="11129"/>
    <s v="Pacific"/>
    <s v="Cathay Pacific, United"/>
    <n v="2.2000000000000002"/>
    <n v="530"/>
    <n v="6"/>
    <n v="1163.9000000000001"/>
  </r>
  <r>
    <n v="2015"/>
    <x v="26"/>
    <s v="ICN"/>
    <s v="LAX"/>
    <n v="9572"/>
    <s v="Pacific"/>
    <s v="Korean Air, Asiana, Delta"/>
    <n v="1.46"/>
    <n v="391"/>
    <n v="4"/>
    <n v="570.1"/>
  </r>
  <r>
    <n v="2018"/>
    <x v="26"/>
    <s v="ICN"/>
    <s v="LAX"/>
    <n v="9572"/>
    <s v="Pacific"/>
    <s v="Korean Air, Asiana, Delta"/>
    <n v="1.66"/>
    <n v="415"/>
    <n v="4"/>
    <n v="690.4"/>
  </r>
  <r>
    <n v="2019"/>
    <x v="26"/>
    <s v="ICN"/>
    <s v="LAX"/>
    <n v="9572"/>
    <s v="Pacific"/>
    <s v="Korean Air, Asiana, Delta"/>
    <n v="1.72"/>
    <n v="435"/>
    <n v="4"/>
    <n v="748.9"/>
  </r>
  <r>
    <n v="2020"/>
    <x v="26"/>
    <s v="ICN"/>
    <s v="LAX"/>
    <n v="9572"/>
    <s v="Pacific"/>
    <s v="Korean Air, Asiana, Delta"/>
    <n v="0.52"/>
    <n v="118"/>
    <n v="1"/>
    <n v="60.7"/>
  </r>
  <r>
    <n v="2021"/>
    <x v="26"/>
    <s v="ICN"/>
    <s v="LAX"/>
    <n v="9572"/>
    <s v="Pacific"/>
    <s v="Korean Air, Asiana, Delta"/>
    <n v="0.91"/>
    <n v="208"/>
    <n v="5"/>
    <n v="189.4"/>
  </r>
  <r>
    <n v="2022"/>
    <x v="26"/>
    <s v="ICN"/>
    <s v="LAX"/>
    <n v="9572"/>
    <s v="Pacific"/>
    <s v="Korean Air, Asiana, Delta"/>
    <n v="1.39"/>
    <n v="351"/>
    <n v="4"/>
    <n v="486.6"/>
  </r>
  <r>
    <n v="2023"/>
    <x v="26"/>
    <s v="ICN"/>
    <s v="LAX"/>
    <n v="9572"/>
    <s v="Pacific"/>
    <s v="Korean Air, Asiana, Delta"/>
    <n v="1.82"/>
    <n v="392"/>
    <n v="2"/>
    <n v="715.8"/>
  </r>
  <r>
    <n v="2024"/>
    <x v="26"/>
    <s v="ICN"/>
    <s v="LAX"/>
    <n v="9572"/>
    <s v="Pacific"/>
    <s v="Korean Air, Asiana, Delta"/>
    <n v="1.84"/>
    <n v="470"/>
    <n v="5"/>
    <n v="864.6"/>
  </r>
  <r>
    <n v="2025"/>
    <x v="26"/>
    <s v="ICN"/>
    <s v="LAX"/>
    <n v="9572"/>
    <s v="Pacific"/>
    <s v="Korean Air, Asiana, Delta"/>
    <n v="1.98"/>
    <n v="515"/>
    <n v="6"/>
    <n v="1022.4"/>
  </r>
  <r>
    <n v="2026"/>
    <x v="26"/>
    <s v="ICN"/>
    <s v="LAX"/>
    <n v="9572"/>
    <s v="Pacific"/>
    <s v="Korean Air, Asiana, Delta"/>
    <n v="2.06"/>
    <n v="458"/>
    <n v="5"/>
    <n v="945.1"/>
  </r>
  <r>
    <n v="2015"/>
    <x v="27"/>
    <s v="JNB"/>
    <s v="LHR"/>
    <n v="9070"/>
    <s v="Africa-Europe"/>
    <s v="British Airways, Virgin"/>
    <n v="1.85"/>
    <n v="338"/>
    <n v="4"/>
    <n v="625.79999999999995"/>
  </r>
  <r>
    <n v="2018"/>
    <x v="27"/>
    <s v="JNB"/>
    <s v="LHR"/>
    <n v="9070"/>
    <s v="Africa-Europe"/>
    <s v="British Airways, Virgin"/>
    <n v="2.0099999999999998"/>
    <n v="376"/>
    <n v="4"/>
    <n v="754.8"/>
  </r>
  <r>
    <n v="2019"/>
    <x v="27"/>
    <s v="JNB"/>
    <s v="LHR"/>
    <n v="9070"/>
    <s v="Africa-Europe"/>
    <s v="British Airways, Virgin"/>
    <n v="2.04"/>
    <n v="408"/>
    <n v="5"/>
    <n v="833.6"/>
  </r>
  <r>
    <n v="2020"/>
    <x v="27"/>
    <s v="JNB"/>
    <s v="LHR"/>
    <n v="9070"/>
    <s v="Africa-Europe"/>
    <s v="British Airways, Virgin"/>
    <n v="0.68"/>
    <n v="126"/>
    <n v="2"/>
    <n v="85.7"/>
  </r>
  <r>
    <n v="2021"/>
    <x v="27"/>
    <s v="JNB"/>
    <s v="LHR"/>
    <n v="9070"/>
    <s v="Africa-Europe"/>
    <s v="British Airways, Virgin"/>
    <n v="1.05"/>
    <n v="205"/>
    <n v="3"/>
    <n v="215.8"/>
  </r>
  <r>
    <n v="2022"/>
    <x v="27"/>
    <s v="JNB"/>
    <s v="LHR"/>
    <n v="9070"/>
    <s v="Africa-Europe"/>
    <s v="British Airways, Virgin"/>
    <n v="1.67"/>
    <n v="308"/>
    <n v="6"/>
    <n v="515.5"/>
  </r>
  <r>
    <n v="2023"/>
    <x v="27"/>
    <s v="JNB"/>
    <s v="LHR"/>
    <n v="9070"/>
    <s v="Africa-Europe"/>
    <s v="British Airways, Virgin"/>
    <n v="2.06"/>
    <n v="411"/>
    <n v="5"/>
    <n v="847.9"/>
  </r>
  <r>
    <n v="2024"/>
    <x v="27"/>
    <s v="JNB"/>
    <s v="LHR"/>
    <n v="9070"/>
    <s v="Africa-Europe"/>
    <s v="British Airways, Virgin"/>
    <n v="2.12"/>
    <n v="440"/>
    <n v="7"/>
    <n v="933.2"/>
  </r>
  <r>
    <n v="2025"/>
    <x v="27"/>
    <s v="JNB"/>
    <s v="LHR"/>
    <n v="9070"/>
    <s v="Africa-Europe"/>
    <s v="British Airways, Virgin"/>
    <n v="2.44"/>
    <n v="466"/>
    <n v="6"/>
    <n v="1137.3"/>
  </r>
  <r>
    <n v="2026"/>
    <x v="27"/>
    <s v="JNB"/>
    <s v="LHR"/>
    <n v="9070"/>
    <s v="Africa-Europe"/>
    <s v="British Airways, Virgin"/>
    <n v="2.35"/>
    <n v="478"/>
    <n v="7"/>
    <n v="1124.4000000000001"/>
  </r>
  <r>
    <n v="2015"/>
    <x v="28"/>
    <s v="CAI"/>
    <s v="RUH"/>
    <n v="1304"/>
    <s v="MENA"/>
    <s v="Saudia, EgyptAir"/>
    <n v="9.93"/>
    <n v="82"/>
    <n v="29"/>
    <n v="818.2"/>
  </r>
  <r>
    <n v="2018"/>
    <x v="28"/>
    <s v="CAI"/>
    <s v="RUH"/>
    <n v="1304"/>
    <s v="MENA"/>
    <s v="Saudia, EgyptAir"/>
    <n v="11.34"/>
    <n v="102"/>
    <n v="33"/>
    <n v="1159.5"/>
  </r>
  <r>
    <n v="2019"/>
    <x v="28"/>
    <s v="CAI"/>
    <s v="RUH"/>
    <n v="1304"/>
    <s v="MENA"/>
    <s v="Saudia, EgyptAir"/>
    <n v="11.31"/>
    <n v="103"/>
    <n v="31"/>
    <n v="1166.2"/>
  </r>
  <r>
    <n v="2020"/>
    <x v="28"/>
    <s v="CAI"/>
    <s v="RUH"/>
    <n v="1304"/>
    <s v="MENA"/>
    <s v="Saudia, EgyptAir"/>
    <n v="3.23"/>
    <n v="31"/>
    <n v="9"/>
    <n v="98.8"/>
  </r>
  <r>
    <n v="2021"/>
    <x v="28"/>
    <s v="CAI"/>
    <s v="RUH"/>
    <n v="1304"/>
    <s v="MENA"/>
    <s v="Saudia, EgyptAir"/>
    <n v="5.65"/>
    <n v="55"/>
    <n v="16"/>
    <n v="308.60000000000002"/>
  </r>
  <r>
    <n v="2022"/>
    <x v="28"/>
    <s v="CAI"/>
    <s v="RUH"/>
    <n v="1304"/>
    <s v="MENA"/>
    <s v="Saudia, EgyptAir"/>
    <n v="8.0399999999999991"/>
    <n v="78"/>
    <n v="23"/>
    <n v="628"/>
  </r>
  <r>
    <n v="2023"/>
    <x v="28"/>
    <s v="CAI"/>
    <s v="RUH"/>
    <n v="1304"/>
    <s v="MENA"/>
    <s v="Saudia, EgyptAir"/>
    <n v="10.56"/>
    <n v="95"/>
    <n v="33"/>
    <n v="1006.7"/>
  </r>
  <r>
    <n v="2024"/>
    <x v="28"/>
    <s v="CAI"/>
    <s v="RUH"/>
    <n v="1304"/>
    <s v="MENA"/>
    <s v="Saudia, EgyptAir"/>
    <n v="10.73"/>
    <n v="105"/>
    <n v="32"/>
    <n v="1124.8"/>
  </r>
  <r>
    <n v="2025"/>
    <x v="28"/>
    <s v="CAI"/>
    <s v="RUH"/>
    <n v="1304"/>
    <s v="MENA"/>
    <s v="Saudia, EgyptAir"/>
    <n v="11.92"/>
    <n v="119"/>
    <n v="36"/>
    <n v="1413.9"/>
  </r>
  <r>
    <n v="2026"/>
    <x v="28"/>
    <s v="CAI"/>
    <s v="RUH"/>
    <n v="1304"/>
    <s v="MENA"/>
    <s v="Saudia, EgyptAir"/>
    <n v="12.5"/>
    <n v="113"/>
    <n v="37"/>
    <n v="1407"/>
  </r>
  <r>
    <n v="2015"/>
    <x v="29"/>
    <s v="LOS"/>
    <s v="LHR"/>
    <n v="5034"/>
    <s v="Africa-Europe"/>
    <s v="British Airways, Virgin"/>
    <n v="2.13"/>
    <n v="211"/>
    <n v="6"/>
    <n v="450.4"/>
  </r>
  <r>
    <n v="2018"/>
    <x v="29"/>
    <s v="LOS"/>
    <s v="LHR"/>
    <n v="5034"/>
    <s v="Africa-Europe"/>
    <s v="British Airways, Virgin"/>
    <n v="2.46"/>
    <n v="222"/>
    <n v="6"/>
    <n v="546.4"/>
  </r>
  <r>
    <n v="2019"/>
    <x v="29"/>
    <s v="LOS"/>
    <s v="LHR"/>
    <n v="5034"/>
    <s v="Africa-Europe"/>
    <s v="British Airways, Virgin"/>
    <n v="2.35"/>
    <n v="265"/>
    <n v="7"/>
    <n v="621.20000000000005"/>
  </r>
  <r>
    <n v="2020"/>
    <x v="29"/>
    <s v="LOS"/>
    <s v="LHR"/>
    <n v="5034"/>
    <s v="Africa-Europe"/>
    <s v="British Airways, Virgin"/>
    <n v="0.77"/>
    <n v="69"/>
    <n v="4"/>
    <n v="53.3"/>
  </r>
  <r>
    <n v="2021"/>
    <x v="29"/>
    <s v="LOS"/>
    <s v="LHR"/>
    <n v="5034"/>
    <s v="Africa-Europe"/>
    <s v="British Airways, Virgin"/>
    <n v="1.23"/>
    <n v="127"/>
    <n v="4"/>
    <n v="155.9"/>
  </r>
  <r>
    <n v="2022"/>
    <x v="29"/>
    <s v="LOS"/>
    <s v="LHR"/>
    <n v="5034"/>
    <s v="Africa-Europe"/>
    <s v="British Airways, Virgin"/>
    <n v="1.81"/>
    <n v="182"/>
    <n v="5"/>
    <n v="331"/>
  </r>
  <r>
    <n v="2023"/>
    <x v="29"/>
    <s v="LOS"/>
    <s v="LHR"/>
    <n v="5034"/>
    <s v="Africa-Europe"/>
    <s v="British Airways, Virgin"/>
    <n v="2.68"/>
    <n v="243"/>
    <n v="9"/>
    <n v="651.6"/>
  </r>
  <r>
    <n v="2024"/>
    <x v="29"/>
    <s v="LOS"/>
    <s v="LHR"/>
    <n v="5034"/>
    <s v="Africa-Europe"/>
    <s v="British Airways, Virgin"/>
    <n v="2.77"/>
    <n v="270"/>
    <n v="7"/>
    <n v="748.1"/>
  </r>
  <r>
    <n v="2025"/>
    <x v="29"/>
    <s v="LOS"/>
    <s v="LHR"/>
    <n v="5034"/>
    <s v="Africa-Europe"/>
    <s v="British Airways, Virgin"/>
    <n v="2.89"/>
    <n v="253"/>
    <n v="10"/>
    <n v="729.8"/>
  </r>
  <r>
    <n v="2026"/>
    <x v="29"/>
    <s v="LOS"/>
    <s v="LHR"/>
    <n v="5034"/>
    <s v="Africa-Europe"/>
    <s v="British Airways, Virgin"/>
    <n v="2.84"/>
    <n v="240"/>
    <n v="8"/>
    <n v="682.2"/>
  </r>
  <r>
    <n v="2015"/>
    <x v="30"/>
    <s v="BOM"/>
    <s v="LHR"/>
    <n v="7196"/>
    <s v="Asia-Europe"/>
    <s v="British Airways, Air India, Virgin"/>
    <n v="1.1200000000000001"/>
    <n v="300"/>
    <n v="2"/>
    <n v="335.3"/>
  </r>
  <r>
    <n v="2018"/>
    <x v="30"/>
    <s v="BOM"/>
    <s v="LHR"/>
    <n v="7196"/>
    <s v="Asia-Europe"/>
    <s v="British Airways, Air India, Virgin"/>
    <n v="1.2"/>
    <n v="320"/>
    <n v="3"/>
    <n v="382.8"/>
  </r>
  <r>
    <n v="2019"/>
    <x v="30"/>
    <s v="BOM"/>
    <s v="LHR"/>
    <n v="7196"/>
    <s v="Asia-Europe"/>
    <s v="British Airways, Air India, Virgin"/>
    <n v="1.31"/>
    <n v="364"/>
    <n v="3"/>
    <n v="476.4"/>
  </r>
  <r>
    <n v="2020"/>
    <x v="30"/>
    <s v="BOM"/>
    <s v="LHR"/>
    <n v="7196"/>
    <s v="Asia-Europe"/>
    <s v="British Airways, Air India, Virgin"/>
    <n v="0.4"/>
    <n v="102"/>
    <n v="1"/>
    <n v="41.1"/>
  </r>
  <r>
    <n v="2021"/>
    <x v="30"/>
    <s v="BOM"/>
    <s v="LHR"/>
    <n v="7196"/>
    <s v="Asia-Europe"/>
    <s v="British Airways, Air India, Virgin"/>
    <n v="0.63"/>
    <n v="169"/>
    <n v="3"/>
    <n v="106.5"/>
  </r>
  <r>
    <n v="2022"/>
    <x v="30"/>
    <s v="BOM"/>
    <s v="LHR"/>
    <n v="7196"/>
    <s v="Asia-Europe"/>
    <s v="British Airways, Air India, Virgin"/>
    <n v="1.02"/>
    <n v="228"/>
    <n v="1"/>
    <n v="233"/>
  </r>
  <r>
    <n v="2023"/>
    <x v="30"/>
    <s v="BOM"/>
    <s v="LHR"/>
    <n v="7196"/>
    <s v="Asia-Europe"/>
    <s v="British Airways, Air India, Virgin"/>
    <n v="1.3"/>
    <n v="319"/>
    <n v="5"/>
    <n v="414.7"/>
  </r>
  <r>
    <n v="2024"/>
    <x v="30"/>
    <s v="BOM"/>
    <s v="LHR"/>
    <n v="7196"/>
    <s v="Asia-Europe"/>
    <s v="British Airways, Air India, Virgin"/>
    <n v="1.35"/>
    <n v="362"/>
    <n v="4"/>
    <n v="487.8"/>
  </r>
  <r>
    <n v="2025"/>
    <x v="30"/>
    <s v="BOM"/>
    <s v="LHR"/>
    <n v="7196"/>
    <s v="Asia-Europe"/>
    <s v="British Airways, Air India, Virgin"/>
    <n v="1.44"/>
    <n v="362"/>
    <n v="4"/>
    <n v="519.9"/>
  </r>
  <r>
    <n v="2026"/>
    <x v="30"/>
    <s v="BOM"/>
    <s v="LHR"/>
    <n v="7196"/>
    <s v="Asia-Europe"/>
    <s v="British Airways, Air India, Virgin"/>
    <n v="1.52"/>
    <n v="378"/>
    <n v="5"/>
    <n v="574.79999999999995"/>
  </r>
  <r>
    <n v="2015"/>
    <x v="31"/>
    <s v="FRA"/>
    <s v="SIN"/>
    <n v="10262"/>
    <s v="Europe-Asia"/>
    <s v="Lufthansa, Singapore"/>
    <n v="0.9"/>
    <n v="441"/>
    <n v="2"/>
    <n v="396.7"/>
  </r>
  <r>
    <n v="2018"/>
    <x v="31"/>
    <s v="FRA"/>
    <s v="SIN"/>
    <n v="10262"/>
    <s v="Europe-Asia"/>
    <s v="Lufthansa, Singapore"/>
    <n v="1.04"/>
    <n v="436"/>
    <n v="3"/>
    <n v="451.9"/>
  </r>
  <r>
    <n v="2019"/>
    <x v="31"/>
    <s v="FRA"/>
    <s v="SIN"/>
    <n v="10262"/>
    <s v="Europe-Asia"/>
    <s v="Lufthansa, Singapore"/>
    <n v="1.1000000000000001"/>
    <n v="460"/>
    <n v="3"/>
    <n v="505.9"/>
  </r>
  <r>
    <n v="2020"/>
    <x v="31"/>
    <s v="FRA"/>
    <s v="SIN"/>
    <n v="10262"/>
    <s v="Europe-Asia"/>
    <s v="Lufthansa, Singapore"/>
    <n v="0.34"/>
    <n v="120"/>
    <n v="2"/>
    <n v="40.5"/>
  </r>
  <r>
    <n v="2021"/>
    <x v="31"/>
    <s v="FRA"/>
    <s v="SIN"/>
    <n v="10262"/>
    <s v="Europe-Asia"/>
    <s v="Lufthansa, Singapore"/>
    <n v="0.56000000000000005"/>
    <n v="238"/>
    <n v="1"/>
    <n v="132.30000000000001"/>
  </r>
  <r>
    <n v="2022"/>
    <x v="31"/>
    <s v="FRA"/>
    <s v="SIN"/>
    <n v="10262"/>
    <s v="Europe-Asia"/>
    <s v="Lufthansa, Singapore"/>
    <n v="0.82"/>
    <n v="332"/>
    <n v="3"/>
    <n v="272.7"/>
  </r>
  <r>
    <n v="2023"/>
    <x v="31"/>
    <s v="FRA"/>
    <s v="SIN"/>
    <n v="10262"/>
    <s v="Europe-Asia"/>
    <s v="Lufthansa, Singapore"/>
    <n v="1.04"/>
    <n v="458"/>
    <n v="2"/>
    <n v="474.5"/>
  </r>
  <r>
    <n v="2024"/>
    <x v="31"/>
    <s v="FRA"/>
    <s v="SIN"/>
    <n v="10262"/>
    <s v="Europe-Asia"/>
    <s v="Lufthansa, Singapore"/>
    <n v="1.1499999999999999"/>
    <n v="476"/>
    <n v="4"/>
    <n v="548.70000000000005"/>
  </r>
  <r>
    <n v="2025"/>
    <x v="31"/>
    <s v="FRA"/>
    <s v="SIN"/>
    <n v="10262"/>
    <s v="Europe-Asia"/>
    <s v="Lufthansa, Singapore"/>
    <n v="1.1399999999999999"/>
    <n v="468"/>
    <n v="1"/>
    <n v="533.20000000000005"/>
  </r>
  <r>
    <n v="2026"/>
    <x v="31"/>
    <s v="FRA"/>
    <s v="SIN"/>
    <n v="10262"/>
    <s v="Europe-Asia"/>
    <s v="Lufthansa, Singapore"/>
    <n v="1.2"/>
    <n v="491"/>
    <n v="1"/>
    <n v="588.29999999999995"/>
  </r>
  <r>
    <n v="2015"/>
    <x v="32"/>
    <s v="AMS"/>
    <s v="BKK"/>
    <n v="9229"/>
    <s v="Europe-Asia"/>
    <s v="KLM, EVA Air"/>
    <n v="1.73"/>
    <n v="335"/>
    <n v="6"/>
    <n v="579.1"/>
  </r>
  <r>
    <n v="2018"/>
    <x v="32"/>
    <s v="AMS"/>
    <s v="BKK"/>
    <n v="9229"/>
    <s v="Europe-Asia"/>
    <s v="KLM, EVA Air"/>
    <n v="2.13"/>
    <n v="403"/>
    <n v="5"/>
    <n v="856.6"/>
  </r>
  <r>
    <n v="2019"/>
    <x v="32"/>
    <s v="AMS"/>
    <s v="BKK"/>
    <n v="9229"/>
    <s v="Europe-Asia"/>
    <s v="KLM, EVA Air"/>
    <n v="2.0699999999999998"/>
    <n v="391"/>
    <n v="6"/>
    <n v="811.1"/>
  </r>
  <r>
    <n v="2020"/>
    <x v="32"/>
    <s v="AMS"/>
    <s v="BKK"/>
    <n v="9229"/>
    <s v="Europe-Asia"/>
    <s v="KLM, EVA Air"/>
    <n v="0.68"/>
    <n v="133"/>
    <n v="2"/>
    <n v="90.8"/>
  </r>
  <r>
    <n v="2021"/>
    <x v="32"/>
    <s v="AMS"/>
    <s v="BKK"/>
    <n v="9229"/>
    <s v="Europe-Asia"/>
    <s v="KLM, EVA Air"/>
    <n v="1.07"/>
    <n v="210"/>
    <n v="2"/>
    <n v="224.5"/>
  </r>
  <r>
    <n v="2022"/>
    <x v="32"/>
    <s v="AMS"/>
    <s v="BKK"/>
    <n v="9229"/>
    <s v="Europe-Asia"/>
    <s v="KLM, EVA Air"/>
    <n v="1.64"/>
    <n v="355"/>
    <n v="3"/>
    <n v="582.29999999999995"/>
  </r>
  <r>
    <n v="2023"/>
    <x v="32"/>
    <s v="AMS"/>
    <s v="BKK"/>
    <n v="9229"/>
    <s v="Europe-Asia"/>
    <s v="KLM, EVA Air"/>
    <n v="2.0699999999999998"/>
    <n v="428"/>
    <n v="4"/>
    <n v="887.9"/>
  </r>
  <r>
    <n v="2024"/>
    <x v="32"/>
    <s v="AMS"/>
    <s v="BKK"/>
    <n v="9229"/>
    <s v="Europe-Asia"/>
    <s v="KLM, EVA Air"/>
    <n v="2.25"/>
    <n v="426"/>
    <n v="6"/>
    <n v="961.3"/>
  </r>
  <r>
    <n v="2025"/>
    <x v="32"/>
    <s v="AMS"/>
    <s v="BKK"/>
    <n v="9229"/>
    <s v="Europe-Asia"/>
    <s v="KLM, EVA Air"/>
    <n v="2.27"/>
    <n v="478"/>
    <n v="7"/>
    <n v="1086.4000000000001"/>
  </r>
  <r>
    <n v="2026"/>
    <x v="32"/>
    <s v="AMS"/>
    <s v="BKK"/>
    <n v="9229"/>
    <s v="Europe-Asia"/>
    <s v="KLM, EVA Air"/>
    <n v="2.52"/>
    <n v="446"/>
    <n v="7"/>
    <n v="1122.0999999999999"/>
  </r>
  <r>
    <n v="2015"/>
    <x v="33"/>
    <s v="ICN"/>
    <s v="NRT"/>
    <n v="1244"/>
    <s v="Asia"/>
    <s v="Korean Air, ANA, JAL"/>
    <n v="3.95"/>
    <n v="96"/>
    <n v="11"/>
    <n v="380.9"/>
  </r>
  <r>
    <n v="2018"/>
    <x v="33"/>
    <s v="ICN"/>
    <s v="NRT"/>
    <n v="1244"/>
    <s v="Asia"/>
    <s v="Korean Air, ANA, JAL"/>
    <n v="4.26"/>
    <n v="96"/>
    <n v="11"/>
    <n v="408.5"/>
  </r>
  <r>
    <n v="2019"/>
    <x v="33"/>
    <s v="ICN"/>
    <s v="NRT"/>
    <n v="1244"/>
    <s v="Asia"/>
    <s v="Korean Air, ANA, JAL"/>
    <n v="4.49"/>
    <n v="94"/>
    <n v="13"/>
    <n v="420.5"/>
  </r>
  <r>
    <n v="2020"/>
    <x v="33"/>
    <s v="ICN"/>
    <s v="NRT"/>
    <n v="1244"/>
    <s v="Asia"/>
    <s v="Korean Air, ANA, JAL"/>
    <n v="1.47"/>
    <n v="31"/>
    <n v="4"/>
    <n v="45.4"/>
  </r>
  <r>
    <n v="2021"/>
    <x v="33"/>
    <s v="ICN"/>
    <s v="NRT"/>
    <n v="1244"/>
    <s v="Asia"/>
    <s v="Korean Air, ANA, JAL"/>
    <n v="2.25"/>
    <n v="48"/>
    <n v="7"/>
    <n v="108.7"/>
  </r>
  <r>
    <n v="2022"/>
    <x v="33"/>
    <s v="ICN"/>
    <s v="NRT"/>
    <n v="1244"/>
    <s v="Asia"/>
    <s v="Korean Air, ANA, JAL"/>
    <n v="3.44"/>
    <n v="74"/>
    <n v="10"/>
    <n v="253.3"/>
  </r>
  <r>
    <n v="2023"/>
    <x v="33"/>
    <s v="ICN"/>
    <s v="NRT"/>
    <n v="1244"/>
    <s v="Asia"/>
    <s v="Korean Air, ANA, JAL"/>
    <n v="4.41"/>
    <n v="96"/>
    <n v="14"/>
    <n v="423.6"/>
  </r>
  <r>
    <n v="2024"/>
    <x v="33"/>
    <s v="ICN"/>
    <s v="NRT"/>
    <n v="1244"/>
    <s v="Asia"/>
    <s v="Korean Air, ANA, JAL"/>
    <n v="4.91"/>
    <n v="112"/>
    <n v="15"/>
    <n v="551.79999999999995"/>
  </r>
  <r>
    <n v="2025"/>
    <x v="33"/>
    <s v="ICN"/>
    <s v="NRT"/>
    <n v="1244"/>
    <s v="Asia"/>
    <s v="Korean Air, ANA, JAL"/>
    <n v="4.88"/>
    <n v="103"/>
    <n v="13"/>
    <n v="501.5"/>
  </r>
  <r>
    <n v="2026"/>
    <x v="33"/>
    <s v="ICN"/>
    <s v="NRT"/>
    <n v="1244"/>
    <s v="Asia"/>
    <s v="Korean Air, ANA, JAL"/>
    <n v="5.09"/>
    <n v="111"/>
    <n v="15"/>
    <n v="566.1"/>
  </r>
  <r>
    <n v="2015"/>
    <x v="34"/>
    <s v="BKK"/>
    <s v="SIN"/>
    <n v="1421"/>
    <s v="Asia"/>
    <s v="Thai, Singapore, AirAsia"/>
    <n v="7.24"/>
    <n v="88"/>
    <n v="19"/>
    <n v="639.70000000000005"/>
  </r>
  <r>
    <n v="2018"/>
    <x v="34"/>
    <s v="BKK"/>
    <s v="SIN"/>
    <n v="1421"/>
    <s v="Asia"/>
    <s v="Thai, Singapore, AirAsia"/>
    <n v="8.01"/>
    <n v="102"/>
    <n v="24"/>
    <n v="814.2"/>
  </r>
  <r>
    <n v="2019"/>
    <x v="34"/>
    <s v="BKK"/>
    <s v="SIN"/>
    <n v="1421"/>
    <s v="Asia"/>
    <s v="Thai, Singapore, AirAsia"/>
    <n v="9.15"/>
    <n v="115"/>
    <n v="28"/>
    <n v="1052.7"/>
  </r>
  <r>
    <n v="2020"/>
    <x v="34"/>
    <s v="BKK"/>
    <s v="SIN"/>
    <n v="1421"/>
    <s v="Asia"/>
    <s v="Thai, Singapore, AirAsia"/>
    <n v="2.4300000000000002"/>
    <n v="31"/>
    <n v="7"/>
    <n v="75.400000000000006"/>
  </r>
  <r>
    <n v="2021"/>
    <x v="34"/>
    <s v="BKK"/>
    <s v="SIN"/>
    <n v="1421"/>
    <s v="Asia"/>
    <s v="Thai, Singapore, AirAsia"/>
    <n v="4.08"/>
    <n v="55"/>
    <n v="12"/>
    <n v="224.3"/>
  </r>
  <r>
    <n v="2022"/>
    <x v="34"/>
    <s v="BKK"/>
    <s v="SIN"/>
    <n v="1421"/>
    <s v="Asia"/>
    <s v="Thai, Singapore, AirAsia"/>
    <n v="6.04"/>
    <n v="86"/>
    <n v="18"/>
    <n v="519.79999999999995"/>
  </r>
  <r>
    <n v="2023"/>
    <x v="34"/>
    <s v="BKK"/>
    <s v="SIN"/>
    <n v="1421"/>
    <s v="Asia"/>
    <s v="Thai, Singapore, AirAsia"/>
    <n v="7.45"/>
    <n v="101"/>
    <n v="22"/>
    <n v="754.2"/>
  </r>
  <r>
    <n v="2024"/>
    <x v="34"/>
    <s v="BKK"/>
    <s v="SIN"/>
    <n v="1421"/>
    <s v="Asia"/>
    <s v="Thai, Singapore, AirAsia"/>
    <n v="9.18"/>
    <n v="110"/>
    <n v="28"/>
    <n v="1009"/>
  </r>
  <r>
    <n v="2025"/>
    <x v="34"/>
    <s v="BKK"/>
    <s v="SIN"/>
    <n v="1421"/>
    <s v="Asia"/>
    <s v="Thai, Singapore, AirAsia"/>
    <n v="9.32"/>
    <n v="109"/>
    <n v="26"/>
    <n v="1012"/>
  </r>
  <r>
    <n v="2026"/>
    <x v="34"/>
    <s v="BKK"/>
    <s v="SIN"/>
    <n v="1421"/>
    <s v="Asia"/>
    <s v="Thai, Singapore, AirAsia"/>
    <n v="9.85"/>
    <n v="129"/>
    <n v="29"/>
    <n v="1266.2"/>
  </r>
  <r>
    <n v="2015"/>
    <x v="35"/>
    <s v="SYD"/>
    <s v="AKL"/>
    <n v="2155"/>
    <s v="Oceania"/>
    <s v="Qantas, Air NZ"/>
    <n v="3.49"/>
    <n v="121"/>
    <n v="9"/>
    <n v="421.5"/>
  </r>
  <r>
    <n v="2018"/>
    <x v="35"/>
    <s v="SYD"/>
    <s v="AKL"/>
    <n v="2155"/>
    <s v="Oceania"/>
    <s v="Qantas, Air NZ"/>
    <n v="4.01"/>
    <n v="134"/>
    <n v="11"/>
    <n v="536.1"/>
  </r>
  <r>
    <n v="2019"/>
    <x v="35"/>
    <s v="SYD"/>
    <s v="AKL"/>
    <n v="2155"/>
    <s v="Oceania"/>
    <s v="Qantas, Air NZ"/>
    <n v="3.84"/>
    <n v="138"/>
    <n v="9"/>
    <n v="530.70000000000005"/>
  </r>
  <r>
    <n v="2020"/>
    <x v="35"/>
    <s v="SYD"/>
    <s v="AKL"/>
    <n v="2155"/>
    <s v="Oceania"/>
    <s v="Qantas, Air NZ"/>
    <n v="1.22"/>
    <n v="39"/>
    <n v="4"/>
    <n v="46.9"/>
  </r>
  <r>
    <n v="2021"/>
    <x v="35"/>
    <s v="SYD"/>
    <s v="AKL"/>
    <n v="2155"/>
    <s v="Oceania"/>
    <s v="Qantas, Air NZ"/>
    <n v="1.93"/>
    <n v="67"/>
    <n v="5"/>
    <n v="129.30000000000001"/>
  </r>
  <r>
    <n v="2022"/>
    <x v="35"/>
    <s v="SYD"/>
    <s v="AKL"/>
    <n v="2155"/>
    <s v="Oceania"/>
    <s v="Qantas, Air NZ"/>
    <n v="2.94"/>
    <n v="114"/>
    <n v="10"/>
    <n v="336"/>
  </r>
  <r>
    <n v="2023"/>
    <x v="35"/>
    <s v="SYD"/>
    <s v="AKL"/>
    <n v="2155"/>
    <s v="Oceania"/>
    <s v="Qantas, Air NZ"/>
    <n v="3.8"/>
    <n v="129"/>
    <n v="12"/>
    <n v="490.6"/>
  </r>
  <r>
    <n v="2024"/>
    <x v="35"/>
    <s v="SYD"/>
    <s v="AKL"/>
    <n v="2155"/>
    <s v="Oceania"/>
    <s v="Qantas, Air NZ"/>
    <n v="4.33"/>
    <n v="136"/>
    <n v="12"/>
    <n v="589"/>
  </r>
  <r>
    <n v="2025"/>
    <x v="35"/>
    <s v="SYD"/>
    <s v="AKL"/>
    <n v="2155"/>
    <s v="Oceania"/>
    <s v="Qantas, Air NZ"/>
    <n v="4.03"/>
    <n v="160"/>
    <n v="14"/>
    <n v="645.9"/>
  </r>
  <r>
    <n v="2026"/>
    <x v="35"/>
    <s v="SYD"/>
    <s v="AKL"/>
    <n v="2155"/>
    <s v="Oceania"/>
    <s v="Qantas, Air NZ"/>
    <n v="4.43"/>
    <n v="134"/>
    <n v="13"/>
    <n v="594.6"/>
  </r>
  <r>
    <n v="2015"/>
    <x v="36"/>
    <s v="SVO"/>
    <s v="AER"/>
    <n v="1364"/>
    <s v="Eurasia"/>
    <s v="Aeroflot, S7"/>
    <n v="3.78"/>
    <n v="92"/>
    <n v="11"/>
    <n v="349.1"/>
  </r>
  <r>
    <n v="2018"/>
    <x v="36"/>
    <s v="SVO"/>
    <s v="AER"/>
    <n v="1364"/>
    <s v="Eurasia"/>
    <s v="Aeroflot, S7"/>
    <n v="4.26"/>
    <n v="96"/>
    <n v="12"/>
    <n v="406.8"/>
  </r>
  <r>
    <n v="2019"/>
    <x v="36"/>
    <s v="SVO"/>
    <s v="AER"/>
    <n v="1364"/>
    <s v="Eurasia"/>
    <s v="Aeroflot, S7"/>
    <n v="4.5"/>
    <n v="98"/>
    <n v="13"/>
    <n v="439.8"/>
  </r>
  <r>
    <n v="2020"/>
    <x v="36"/>
    <s v="SVO"/>
    <s v="AER"/>
    <n v="1364"/>
    <s v="Eurasia"/>
    <s v="Aeroflot, S7"/>
    <n v="1.39"/>
    <n v="31"/>
    <n v="2"/>
    <n v="43.1"/>
  </r>
  <r>
    <n v="2021"/>
    <x v="36"/>
    <s v="SVO"/>
    <s v="AER"/>
    <n v="1364"/>
    <s v="Eurasia"/>
    <s v="Aeroflot, S7"/>
    <n v="2.38"/>
    <n v="44"/>
    <n v="6"/>
    <n v="105.5"/>
  </r>
  <r>
    <n v="2022"/>
    <x v="36"/>
    <s v="SVO"/>
    <s v="AER"/>
    <n v="1364"/>
    <s v="Eurasia"/>
    <s v="Aeroflot, S7"/>
    <n v="3.34"/>
    <n v="79"/>
    <n v="10"/>
    <n v="264.5"/>
  </r>
  <r>
    <n v="2023"/>
    <x v="36"/>
    <s v="SVO"/>
    <s v="AER"/>
    <n v="1364"/>
    <s v="Eurasia"/>
    <s v="Aeroflot, S7"/>
    <n v="4.54"/>
    <n v="95"/>
    <n v="14"/>
    <n v="432.3"/>
  </r>
  <r>
    <n v="2024"/>
    <x v="36"/>
    <s v="SVO"/>
    <s v="AER"/>
    <n v="1364"/>
    <s v="Eurasia"/>
    <s v="Aeroflot, S7"/>
    <n v="4.84"/>
    <n v="99"/>
    <n v="16"/>
    <n v="479.2"/>
  </r>
  <r>
    <n v="2025"/>
    <x v="36"/>
    <s v="SVO"/>
    <s v="AER"/>
    <n v="1364"/>
    <s v="Eurasia"/>
    <s v="Aeroflot, S7"/>
    <n v="4.75"/>
    <n v="118"/>
    <n v="14"/>
    <n v="559.79999999999995"/>
  </r>
  <r>
    <n v="2026"/>
    <x v="36"/>
    <s v="SVO"/>
    <s v="AER"/>
    <n v="1364"/>
    <s v="Eurasia"/>
    <s v="Aeroflot, S7"/>
    <n v="5.18"/>
    <n v="114"/>
    <n v="16"/>
    <n v="588.29999999999995"/>
  </r>
  <r>
    <n v="2015"/>
    <x v="37"/>
    <s v="IST"/>
    <s v="AYT"/>
    <n v="480"/>
    <s v="Europe"/>
    <s v="Turkish, Pegasus"/>
    <n v="7.21"/>
    <n v="57"/>
    <n v="20"/>
    <n v="410.2"/>
  </r>
  <r>
    <n v="2018"/>
    <x v="37"/>
    <s v="IST"/>
    <s v="AYT"/>
    <n v="480"/>
    <s v="Europe"/>
    <s v="Turkish, Pegasus"/>
    <n v="8.2200000000000006"/>
    <n v="70"/>
    <n v="24"/>
    <n v="576.70000000000005"/>
  </r>
  <r>
    <n v="2019"/>
    <x v="37"/>
    <s v="IST"/>
    <s v="AYT"/>
    <n v="480"/>
    <s v="Europe"/>
    <s v="Turkish, Pegasus"/>
    <n v="8.7799999999999994"/>
    <n v="69"/>
    <n v="25"/>
    <n v="609.29999999999995"/>
  </r>
  <r>
    <n v="2020"/>
    <x v="37"/>
    <s v="IST"/>
    <s v="AYT"/>
    <n v="480"/>
    <s v="Europe"/>
    <s v="Turkish, Pegasus"/>
    <n v="2.5299999999999998"/>
    <n v="20"/>
    <n v="6"/>
    <n v="51.5"/>
  </r>
  <r>
    <n v="2021"/>
    <x v="37"/>
    <s v="IST"/>
    <s v="AYT"/>
    <n v="480"/>
    <s v="Europe"/>
    <s v="Turkish, Pegasus"/>
    <n v="4.33"/>
    <n v="35"/>
    <n v="11"/>
    <n v="151.9"/>
  </r>
  <r>
    <n v="2022"/>
    <x v="37"/>
    <s v="IST"/>
    <s v="AYT"/>
    <n v="480"/>
    <s v="Europe"/>
    <s v="Turkish, Pegasus"/>
    <n v="5.97"/>
    <n v="53"/>
    <n v="17"/>
    <n v="318.10000000000002"/>
  </r>
  <r>
    <n v="2023"/>
    <x v="37"/>
    <s v="IST"/>
    <s v="AYT"/>
    <n v="480"/>
    <s v="Europe"/>
    <s v="Turkish, Pegasus"/>
    <n v="8.18"/>
    <n v="69"/>
    <n v="23"/>
    <n v="563.70000000000005"/>
  </r>
  <r>
    <n v="2024"/>
    <x v="37"/>
    <s v="IST"/>
    <s v="AYT"/>
    <n v="480"/>
    <s v="Europe"/>
    <s v="Turkish, Pegasus"/>
    <n v="8.44"/>
    <n v="80"/>
    <n v="25"/>
    <n v="678.4"/>
  </r>
  <r>
    <n v="2025"/>
    <x v="37"/>
    <s v="IST"/>
    <s v="AYT"/>
    <n v="480"/>
    <s v="Europe"/>
    <s v="Turkish, Pegasus"/>
    <n v="9.1999999999999993"/>
    <n v="72"/>
    <n v="27"/>
    <n v="662.5"/>
  </r>
  <r>
    <n v="2026"/>
    <x v="37"/>
    <s v="IST"/>
    <s v="AYT"/>
    <n v="480"/>
    <s v="Europe"/>
    <s v="Turkish, Pegasus"/>
    <n v="9.09"/>
    <n v="82"/>
    <n v="26"/>
    <n v="742.6"/>
  </r>
  <r>
    <n v="2015"/>
    <x v="38"/>
    <s v="HND"/>
    <s v="SIN"/>
    <n v="5350"/>
    <s v="Asia"/>
    <s v="Singapore, ANA, JAL"/>
    <n v="3.17"/>
    <n v="211"/>
    <n v="9"/>
    <n v="667.9"/>
  </r>
  <r>
    <n v="2018"/>
    <x v="38"/>
    <s v="HND"/>
    <s v="SIN"/>
    <n v="5350"/>
    <s v="Asia"/>
    <s v="Singapore, ANA, JAL"/>
    <n v="3.24"/>
    <n v="249"/>
    <n v="9"/>
    <n v="806.8"/>
  </r>
  <r>
    <n v="2019"/>
    <x v="38"/>
    <s v="HND"/>
    <s v="SIN"/>
    <n v="5350"/>
    <s v="Asia"/>
    <s v="Singapore, ANA, JAL"/>
    <n v="3.92"/>
    <n v="236"/>
    <n v="12"/>
    <n v="923"/>
  </r>
  <r>
    <n v="2020"/>
    <x v="38"/>
    <s v="HND"/>
    <s v="SIN"/>
    <n v="5350"/>
    <s v="Asia"/>
    <s v="Singapore, ANA, JAL"/>
    <n v="1.17"/>
    <n v="85"/>
    <n v="3"/>
    <n v="100.3"/>
  </r>
  <r>
    <n v="2021"/>
    <x v="38"/>
    <s v="HND"/>
    <s v="SIN"/>
    <n v="5350"/>
    <s v="Asia"/>
    <s v="Singapore, ANA, JAL"/>
    <n v="1.97"/>
    <n v="121"/>
    <n v="6"/>
    <n v="238.4"/>
  </r>
  <r>
    <n v="2022"/>
    <x v="38"/>
    <s v="HND"/>
    <s v="SIN"/>
    <n v="5350"/>
    <s v="Asia"/>
    <s v="Singapore, ANA, JAL"/>
    <n v="2.75"/>
    <n v="179"/>
    <n v="7"/>
    <n v="494"/>
  </r>
  <r>
    <n v="2023"/>
    <x v="38"/>
    <s v="HND"/>
    <s v="SIN"/>
    <n v="5350"/>
    <s v="Asia"/>
    <s v="Singapore, ANA, JAL"/>
    <n v="3.6"/>
    <n v="239"/>
    <n v="11"/>
    <n v="859.2"/>
  </r>
  <r>
    <n v="2024"/>
    <x v="38"/>
    <s v="HND"/>
    <s v="SIN"/>
    <n v="5350"/>
    <s v="Asia"/>
    <s v="Singapore, ANA, JAL"/>
    <n v="3.7"/>
    <n v="244"/>
    <n v="12"/>
    <n v="902.8"/>
  </r>
  <r>
    <n v="2025"/>
    <x v="38"/>
    <s v="HND"/>
    <s v="SIN"/>
    <n v="5350"/>
    <s v="Asia"/>
    <s v="Singapore, ANA, JAL"/>
    <n v="4.32"/>
    <n v="273"/>
    <n v="12"/>
    <n v="1178.0999999999999"/>
  </r>
  <r>
    <n v="2026"/>
    <x v="38"/>
    <s v="HND"/>
    <s v="SIN"/>
    <n v="5350"/>
    <s v="Asia"/>
    <s v="Singapore, ANA, JAL"/>
    <n v="4.42"/>
    <n v="303"/>
    <n v="13"/>
    <n v="1340"/>
  </r>
  <r>
    <n v="2015"/>
    <x v="39"/>
    <s v="JFK"/>
    <s v="MIA"/>
    <n v="1759"/>
    <s v="North America"/>
    <s v="American, Delta, JetBlue"/>
    <n v="2.84"/>
    <n v="102"/>
    <n v="8"/>
    <n v="290.8"/>
  </r>
  <r>
    <n v="2018"/>
    <x v="39"/>
    <s v="JFK"/>
    <s v="MIA"/>
    <n v="1759"/>
    <s v="North America"/>
    <s v="American, Delta, JetBlue"/>
    <n v="3.23"/>
    <n v="112"/>
    <n v="9"/>
    <n v="360.7"/>
  </r>
  <r>
    <n v="2019"/>
    <x v="39"/>
    <s v="JFK"/>
    <s v="MIA"/>
    <n v="1759"/>
    <s v="North America"/>
    <s v="American, Delta, JetBlue"/>
    <n v="3.44"/>
    <n v="113"/>
    <n v="11"/>
    <n v="388.9"/>
  </r>
  <r>
    <n v="2020"/>
    <x v="39"/>
    <s v="JFK"/>
    <s v="MIA"/>
    <n v="1759"/>
    <s v="North America"/>
    <s v="American, Delta, JetBlue"/>
    <n v="0.99"/>
    <n v="36"/>
    <n v="2"/>
    <n v="35.299999999999997"/>
  </r>
  <r>
    <n v="2021"/>
    <x v="39"/>
    <s v="JFK"/>
    <s v="MIA"/>
    <n v="1759"/>
    <s v="North America"/>
    <s v="American, Delta, JetBlue"/>
    <n v="1.74"/>
    <n v="53"/>
    <n v="6"/>
    <n v="92.4"/>
  </r>
  <r>
    <n v="2022"/>
    <x v="39"/>
    <s v="JFK"/>
    <s v="MIA"/>
    <n v="1759"/>
    <s v="North America"/>
    <s v="American, Delta, JetBlue"/>
    <n v="2.5099999999999998"/>
    <n v="97"/>
    <n v="7"/>
    <n v="243.6"/>
  </r>
  <r>
    <n v="2023"/>
    <x v="39"/>
    <s v="JFK"/>
    <s v="MIA"/>
    <n v="1759"/>
    <s v="North America"/>
    <s v="American, Delta, JetBlue"/>
    <n v="3.26"/>
    <n v="128"/>
    <n v="9"/>
    <n v="417.9"/>
  </r>
  <r>
    <n v="2024"/>
    <x v="39"/>
    <s v="JFK"/>
    <s v="MIA"/>
    <n v="1759"/>
    <s v="North America"/>
    <s v="American, Delta, JetBlue"/>
    <n v="3.79"/>
    <n v="127"/>
    <n v="11"/>
    <n v="480.3"/>
  </r>
  <r>
    <n v="2025"/>
    <x v="39"/>
    <s v="JFK"/>
    <s v="MIA"/>
    <n v="1759"/>
    <s v="North America"/>
    <s v="American, Delta, JetBlue"/>
    <n v="3.79"/>
    <n v="139"/>
    <n v="10"/>
    <n v="528.1"/>
  </r>
  <r>
    <n v="2026"/>
    <x v="39"/>
    <s v="JFK"/>
    <s v="MIA"/>
    <n v="1759"/>
    <s v="North America"/>
    <s v="American, Delta, JetBlue"/>
    <n v="3.7"/>
    <n v="130"/>
    <n v="11"/>
    <n v="48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6">
  <r>
    <x v="0"/>
    <n v="2010"/>
    <n v="1"/>
    <x v="0"/>
    <n v="61.73"/>
    <n v="76.45"/>
    <n v="80.8"/>
  </r>
  <r>
    <x v="1"/>
    <n v="2010"/>
    <n v="2"/>
    <x v="0"/>
    <n v="58.63"/>
    <n v="72.13"/>
    <n v="81.3"/>
  </r>
  <r>
    <x v="2"/>
    <n v="2010"/>
    <n v="3"/>
    <x v="0"/>
    <n v="60.16"/>
    <n v="72.790000000000006"/>
    <n v="82.6"/>
  </r>
  <r>
    <x v="3"/>
    <n v="2010"/>
    <n v="4"/>
    <x v="0"/>
    <n v="64.069999999999993"/>
    <n v="76.8"/>
    <n v="83.4"/>
  </r>
  <r>
    <x v="4"/>
    <n v="2010"/>
    <n v="5"/>
    <x v="0"/>
    <n v="69.430000000000007"/>
    <n v="85.85"/>
    <n v="80.900000000000006"/>
  </r>
  <r>
    <x v="5"/>
    <n v="2010"/>
    <n v="6"/>
    <x v="0"/>
    <n v="76.14"/>
    <n v="89.95"/>
    <n v="84.7"/>
  </r>
  <r>
    <x v="6"/>
    <n v="2010"/>
    <n v="7"/>
    <x v="0"/>
    <n v="82.62"/>
    <n v="101.28"/>
    <n v="81.599999999999994"/>
  </r>
  <r>
    <x v="7"/>
    <n v="2010"/>
    <n v="8"/>
    <x v="0"/>
    <n v="84.79"/>
    <n v="109"/>
    <n v="77.8"/>
  </r>
  <r>
    <x v="8"/>
    <n v="2010"/>
    <n v="9"/>
    <x v="0"/>
    <n v="82.23"/>
    <n v="95.62"/>
    <n v="86"/>
  </r>
  <r>
    <x v="9"/>
    <n v="2010"/>
    <n v="10"/>
    <x v="0"/>
    <n v="78.900000000000006"/>
    <n v="96.05"/>
    <n v="82.1"/>
  </r>
  <r>
    <x v="10"/>
    <n v="2010"/>
    <n v="11"/>
    <x v="0"/>
    <n v="74.55"/>
    <n v="88.97"/>
    <n v="83.8"/>
  </r>
  <r>
    <x v="11"/>
    <n v="2010"/>
    <n v="12"/>
    <x v="0"/>
    <n v="64.09"/>
    <n v="81.5"/>
    <n v="78.599999999999994"/>
  </r>
  <r>
    <x v="12"/>
    <n v="2011"/>
    <n v="1"/>
    <x v="0"/>
    <n v="64.62"/>
    <n v="80.2"/>
    <n v="80.599999999999994"/>
  </r>
  <r>
    <x v="13"/>
    <n v="2011"/>
    <n v="2"/>
    <x v="0"/>
    <n v="65.45"/>
    <n v="80.44"/>
    <n v="81.400000000000006"/>
  </r>
  <r>
    <x v="14"/>
    <n v="2011"/>
    <n v="3"/>
    <x v="0"/>
    <n v="60.98"/>
    <n v="76.73"/>
    <n v="79.5"/>
  </r>
  <r>
    <x v="15"/>
    <n v="2011"/>
    <n v="4"/>
    <x v="0"/>
    <n v="63.46"/>
    <n v="77.83"/>
    <n v="81.5"/>
  </r>
  <r>
    <x v="16"/>
    <n v="2011"/>
    <n v="5"/>
    <x v="0"/>
    <n v="74.31"/>
    <n v="91.57"/>
    <n v="81.2"/>
  </r>
  <r>
    <x v="17"/>
    <n v="2011"/>
    <n v="6"/>
    <x v="0"/>
    <n v="83.24"/>
    <n v="98.63"/>
    <n v="84.4"/>
  </r>
  <r>
    <x v="18"/>
    <n v="2011"/>
    <n v="7"/>
    <x v="0"/>
    <n v="84.54"/>
    <n v="108.75"/>
    <n v="77.7"/>
  </r>
  <r>
    <x v="19"/>
    <n v="2011"/>
    <n v="8"/>
    <x v="0"/>
    <n v="88.37"/>
    <n v="106.33"/>
    <n v="83.1"/>
  </r>
  <r>
    <x v="20"/>
    <n v="2011"/>
    <n v="9"/>
    <x v="0"/>
    <n v="86.29"/>
    <n v="102.78"/>
    <n v="84"/>
  </r>
  <r>
    <x v="21"/>
    <n v="2011"/>
    <n v="10"/>
    <x v="0"/>
    <n v="78.790000000000006"/>
    <n v="91.6"/>
    <n v="86"/>
  </r>
  <r>
    <x v="22"/>
    <n v="2011"/>
    <n v="11"/>
    <x v="0"/>
    <n v="73.97"/>
    <n v="88.59"/>
    <n v="83.5"/>
  </r>
  <r>
    <x v="23"/>
    <n v="2011"/>
    <n v="12"/>
    <x v="0"/>
    <n v="67.150000000000006"/>
    <n v="83.79"/>
    <n v="80.099999999999994"/>
  </r>
  <r>
    <x v="24"/>
    <n v="2012"/>
    <n v="1"/>
    <x v="0"/>
    <n v="69.75"/>
    <n v="85.61"/>
    <n v="81.5"/>
  </r>
  <r>
    <x v="25"/>
    <n v="2012"/>
    <n v="2"/>
    <x v="0"/>
    <n v="66.97"/>
    <n v="81.209999999999994"/>
    <n v="82.5"/>
  </r>
  <r>
    <x v="26"/>
    <n v="2012"/>
    <n v="3"/>
    <x v="0"/>
    <n v="66.84"/>
    <n v="78.89"/>
    <n v="84.7"/>
  </r>
  <r>
    <x v="27"/>
    <n v="2012"/>
    <n v="4"/>
    <x v="0"/>
    <n v="71"/>
    <n v="90.51"/>
    <n v="78.400000000000006"/>
  </r>
  <r>
    <x v="28"/>
    <n v="2012"/>
    <n v="5"/>
    <x v="0"/>
    <n v="75.69"/>
    <n v="91.08"/>
    <n v="83.1"/>
  </r>
  <r>
    <x v="29"/>
    <n v="2012"/>
    <n v="6"/>
    <x v="0"/>
    <n v="84.6"/>
    <n v="107.27"/>
    <n v="78.900000000000006"/>
  </r>
  <r>
    <x v="30"/>
    <n v="2012"/>
    <n v="7"/>
    <x v="0"/>
    <n v="86.24"/>
    <n v="106.68"/>
    <n v="80.8"/>
  </r>
  <r>
    <x v="31"/>
    <n v="2012"/>
    <n v="8"/>
    <x v="0"/>
    <n v="88.99"/>
    <n v="112.29"/>
    <n v="79.2"/>
  </r>
  <r>
    <x v="32"/>
    <n v="2012"/>
    <n v="9"/>
    <x v="0"/>
    <n v="87"/>
    <n v="108.02"/>
    <n v="80.5"/>
  </r>
  <r>
    <x v="33"/>
    <n v="2012"/>
    <n v="10"/>
    <x v="0"/>
    <n v="86.58"/>
    <n v="103.55"/>
    <n v="83.6"/>
  </r>
  <r>
    <x v="34"/>
    <n v="2012"/>
    <n v="11"/>
    <x v="0"/>
    <n v="78.59"/>
    <n v="96.77"/>
    <n v="81.2"/>
  </r>
  <r>
    <x v="35"/>
    <n v="2012"/>
    <n v="12"/>
    <x v="0"/>
    <n v="73.540000000000006"/>
    <n v="91.5"/>
    <n v="80.400000000000006"/>
  </r>
  <r>
    <x v="36"/>
    <n v="2013"/>
    <n v="1"/>
    <x v="0"/>
    <n v="66.75"/>
    <n v="83.31"/>
    <n v="80.099999999999994"/>
  </r>
  <r>
    <x v="37"/>
    <n v="2013"/>
    <n v="2"/>
    <x v="0"/>
    <n v="66.41"/>
    <n v="83.35"/>
    <n v="79.7"/>
  </r>
  <r>
    <x v="38"/>
    <n v="2013"/>
    <n v="3"/>
    <x v="0"/>
    <n v="69.83"/>
    <n v="83.67"/>
    <n v="83.5"/>
  </r>
  <r>
    <x v="39"/>
    <n v="2013"/>
    <n v="4"/>
    <x v="0"/>
    <n v="70.650000000000006"/>
    <n v="86.1"/>
    <n v="82.1"/>
  </r>
  <r>
    <x v="40"/>
    <n v="2013"/>
    <n v="5"/>
    <x v="0"/>
    <n v="79.81"/>
    <n v="96.52"/>
    <n v="82.7"/>
  </r>
  <r>
    <x v="41"/>
    <n v="2013"/>
    <n v="6"/>
    <x v="0"/>
    <n v="86.58"/>
    <n v="109.46"/>
    <n v="79.099999999999994"/>
  </r>
  <r>
    <x v="42"/>
    <n v="2013"/>
    <n v="7"/>
    <x v="0"/>
    <n v="87.9"/>
    <n v="107.12"/>
    <n v="82.1"/>
  </r>
  <r>
    <x v="43"/>
    <n v="2013"/>
    <n v="8"/>
    <x v="0"/>
    <n v="96.11"/>
    <n v="123.9"/>
    <n v="77.599999999999994"/>
  </r>
  <r>
    <x v="44"/>
    <n v="2013"/>
    <n v="9"/>
    <x v="0"/>
    <n v="92.78"/>
    <n v="109.96"/>
    <n v="84.4"/>
  </r>
  <r>
    <x v="45"/>
    <n v="2013"/>
    <n v="10"/>
    <x v="0"/>
    <n v="87.21"/>
    <n v="104.95"/>
    <n v="83.1"/>
  </r>
  <r>
    <x v="46"/>
    <n v="2013"/>
    <n v="11"/>
    <x v="0"/>
    <n v="80.03"/>
    <n v="97.88"/>
    <n v="81.8"/>
  </r>
  <r>
    <x v="47"/>
    <n v="2013"/>
    <n v="12"/>
    <x v="0"/>
    <n v="72.22"/>
    <n v="93.42"/>
    <n v="77.3"/>
  </r>
  <r>
    <x v="48"/>
    <n v="2014"/>
    <n v="1"/>
    <x v="0"/>
    <n v="73.569999999999993"/>
    <n v="91.93"/>
    <n v="80"/>
  </r>
  <r>
    <x v="49"/>
    <n v="2014"/>
    <n v="2"/>
    <x v="0"/>
    <n v="69.12"/>
    <n v="87.24"/>
    <n v="79.2"/>
  </r>
  <r>
    <x v="50"/>
    <n v="2014"/>
    <n v="3"/>
    <x v="0"/>
    <n v="68.95"/>
    <n v="84.44"/>
    <n v="81.7"/>
  </r>
  <r>
    <x v="51"/>
    <n v="2014"/>
    <n v="4"/>
    <x v="0"/>
    <n v="75.02"/>
    <n v="90.65"/>
    <n v="82.8"/>
  </r>
  <r>
    <x v="52"/>
    <n v="2014"/>
    <n v="5"/>
    <x v="0"/>
    <n v="84.27"/>
    <n v="101.97"/>
    <n v="82.6"/>
  </r>
  <r>
    <x v="53"/>
    <n v="2014"/>
    <n v="6"/>
    <x v="0"/>
    <n v="90.26"/>
    <n v="106"/>
    <n v="85.2"/>
  </r>
  <r>
    <x v="54"/>
    <n v="2014"/>
    <n v="7"/>
    <x v="0"/>
    <n v="91.48"/>
    <n v="111.71"/>
    <n v="81.900000000000006"/>
  </r>
  <r>
    <x v="55"/>
    <n v="2014"/>
    <n v="8"/>
    <x v="0"/>
    <n v="99.74"/>
    <n v="118"/>
    <n v="84.5"/>
  </r>
  <r>
    <x v="56"/>
    <n v="2014"/>
    <n v="9"/>
    <x v="0"/>
    <n v="91.02"/>
    <n v="111.85"/>
    <n v="81.400000000000006"/>
  </r>
  <r>
    <x v="57"/>
    <n v="2014"/>
    <n v="10"/>
    <x v="0"/>
    <n v="94.39"/>
    <n v="113.7"/>
    <n v="83"/>
  </r>
  <r>
    <x v="58"/>
    <n v="2014"/>
    <n v="11"/>
    <x v="0"/>
    <n v="85.03"/>
    <n v="104.25"/>
    <n v="81.599999999999994"/>
  </r>
  <r>
    <x v="59"/>
    <n v="2014"/>
    <n v="12"/>
    <x v="0"/>
    <n v="77.510000000000005"/>
    <n v="93.87"/>
    <n v="82.6"/>
  </r>
  <r>
    <x v="60"/>
    <n v="2015"/>
    <n v="1"/>
    <x v="0"/>
    <n v="73.400000000000006"/>
    <n v="89.61"/>
    <n v="81.900000000000006"/>
  </r>
  <r>
    <x v="61"/>
    <n v="2015"/>
    <n v="2"/>
    <x v="0"/>
    <n v="72.62"/>
    <n v="90.05"/>
    <n v="80.599999999999994"/>
  </r>
  <r>
    <x v="62"/>
    <n v="2015"/>
    <n v="3"/>
    <x v="0"/>
    <n v="75.55"/>
    <n v="86.02"/>
    <n v="87.8"/>
  </r>
  <r>
    <x v="63"/>
    <n v="2015"/>
    <n v="4"/>
    <x v="0"/>
    <n v="75.150000000000006"/>
    <n v="90.92"/>
    <n v="82.6"/>
  </r>
  <r>
    <x v="64"/>
    <n v="2015"/>
    <n v="5"/>
    <x v="0"/>
    <n v="83.98"/>
    <n v="100.99"/>
    <n v="83.2"/>
  </r>
  <r>
    <x v="65"/>
    <n v="2015"/>
    <n v="6"/>
    <x v="0"/>
    <n v="92.74"/>
    <n v="111.03"/>
    <n v="83.5"/>
  </r>
  <r>
    <x v="66"/>
    <n v="2015"/>
    <n v="7"/>
    <x v="0"/>
    <n v="101.1"/>
    <n v="122.72"/>
    <n v="82.4"/>
  </r>
  <r>
    <x v="67"/>
    <n v="2015"/>
    <n v="8"/>
    <x v="0"/>
    <n v="103.04"/>
    <n v="133.27000000000001"/>
    <n v="77.3"/>
  </r>
  <r>
    <x v="68"/>
    <n v="2015"/>
    <n v="9"/>
    <x v="0"/>
    <n v="102.91"/>
    <n v="124.36"/>
    <n v="82.8"/>
  </r>
  <r>
    <x v="69"/>
    <n v="2015"/>
    <n v="10"/>
    <x v="0"/>
    <n v="96.67"/>
    <n v="121.5"/>
    <n v="79.599999999999994"/>
  </r>
  <r>
    <x v="70"/>
    <n v="2015"/>
    <n v="11"/>
    <x v="0"/>
    <n v="85.14"/>
    <n v="103.46"/>
    <n v="82.3"/>
  </r>
  <r>
    <x v="71"/>
    <n v="2015"/>
    <n v="12"/>
    <x v="0"/>
    <n v="80.92"/>
    <n v="98"/>
    <n v="82.6"/>
  </r>
  <r>
    <x v="72"/>
    <n v="2016"/>
    <n v="1"/>
    <x v="0"/>
    <n v="78.88"/>
    <n v="100.52"/>
    <n v="78.5"/>
  </r>
  <r>
    <x v="73"/>
    <n v="2016"/>
    <n v="2"/>
    <x v="0"/>
    <n v="77"/>
    <n v="93.88"/>
    <n v="82"/>
  </r>
  <r>
    <x v="74"/>
    <n v="2016"/>
    <n v="3"/>
    <x v="0"/>
    <n v="76.28"/>
    <n v="96.49"/>
    <n v="79.099999999999994"/>
  </r>
  <r>
    <x v="75"/>
    <n v="2016"/>
    <n v="4"/>
    <x v="0"/>
    <n v="83.05"/>
    <n v="107.62"/>
    <n v="77.2"/>
  </r>
  <r>
    <x v="76"/>
    <n v="2016"/>
    <n v="5"/>
    <x v="0"/>
    <n v="90.41"/>
    <n v="114.42"/>
    <n v="79"/>
  </r>
  <r>
    <x v="77"/>
    <n v="2016"/>
    <n v="6"/>
    <x v="0"/>
    <n v="95.72"/>
    <n v="117.07"/>
    <n v="81.8"/>
  </r>
  <r>
    <x v="78"/>
    <n v="2016"/>
    <n v="7"/>
    <x v="0"/>
    <n v="104.3"/>
    <n v="127.75"/>
    <n v="81.599999999999994"/>
  </r>
  <r>
    <x v="79"/>
    <n v="2016"/>
    <n v="8"/>
    <x v="0"/>
    <n v="100.64"/>
    <n v="124.27"/>
    <n v="81"/>
  </r>
  <r>
    <x v="80"/>
    <n v="2016"/>
    <n v="9"/>
    <x v="0"/>
    <n v="105.16"/>
    <n v="126.59"/>
    <n v="83.1"/>
  </r>
  <r>
    <x v="81"/>
    <n v="2016"/>
    <n v="10"/>
    <x v="0"/>
    <n v="95.44"/>
    <n v="117.06"/>
    <n v="81.5"/>
  </r>
  <r>
    <x v="82"/>
    <n v="2016"/>
    <n v="11"/>
    <x v="0"/>
    <n v="85.91"/>
    <n v="103.78"/>
    <n v="82.8"/>
  </r>
  <r>
    <x v="83"/>
    <n v="2016"/>
    <n v="12"/>
    <x v="0"/>
    <n v="79.209999999999994"/>
    <n v="94.85"/>
    <n v="83.5"/>
  </r>
  <r>
    <x v="84"/>
    <n v="2017"/>
    <n v="1"/>
    <x v="0"/>
    <n v="79.05"/>
    <n v="91.1"/>
    <n v="86.8"/>
  </r>
  <r>
    <x v="85"/>
    <n v="2017"/>
    <n v="2"/>
    <x v="0"/>
    <n v="74.62"/>
    <n v="91.22"/>
    <n v="81.8"/>
  </r>
  <r>
    <x v="86"/>
    <n v="2017"/>
    <n v="3"/>
    <x v="0"/>
    <n v="83.53"/>
    <n v="98.99"/>
    <n v="84.4"/>
  </r>
  <r>
    <x v="87"/>
    <n v="2017"/>
    <n v="4"/>
    <x v="0"/>
    <n v="82.6"/>
    <n v="100.19"/>
    <n v="82.4"/>
  </r>
  <r>
    <x v="88"/>
    <n v="2017"/>
    <n v="5"/>
    <x v="0"/>
    <n v="91.42"/>
    <n v="110.73"/>
    <n v="82.6"/>
  </r>
  <r>
    <x v="89"/>
    <n v="2017"/>
    <n v="6"/>
    <x v="0"/>
    <n v="96.48"/>
    <n v="117.91"/>
    <n v="81.8"/>
  </r>
  <r>
    <x v="90"/>
    <n v="2017"/>
    <n v="7"/>
    <x v="0"/>
    <n v="98.95"/>
    <n v="120.27"/>
    <n v="82.3"/>
  </r>
  <r>
    <x v="91"/>
    <n v="2017"/>
    <n v="8"/>
    <x v="0"/>
    <n v="107.36"/>
    <n v="131.66"/>
    <n v="81.5"/>
  </r>
  <r>
    <x v="92"/>
    <n v="2017"/>
    <n v="9"/>
    <x v="0"/>
    <n v="99.39"/>
    <n v="118.36"/>
    <n v="84"/>
  </r>
  <r>
    <x v="93"/>
    <n v="2017"/>
    <n v="10"/>
    <x v="0"/>
    <n v="100.6"/>
    <n v="124.89"/>
    <n v="80.5"/>
  </r>
  <r>
    <x v="94"/>
    <n v="2017"/>
    <n v="11"/>
    <x v="0"/>
    <n v="92.01"/>
    <n v="116.48"/>
    <n v="79"/>
  </r>
  <r>
    <x v="95"/>
    <n v="2017"/>
    <n v="12"/>
    <x v="0"/>
    <n v="83.44"/>
    <n v="103.11"/>
    <n v="80.900000000000006"/>
  </r>
  <r>
    <x v="96"/>
    <n v="2018"/>
    <n v="1"/>
    <x v="0"/>
    <n v="84.18"/>
    <n v="104.29"/>
    <n v="80.7"/>
  </r>
  <r>
    <x v="97"/>
    <n v="2018"/>
    <n v="2"/>
    <x v="0"/>
    <n v="81"/>
    <n v="100.09"/>
    <n v="80.900000000000006"/>
  </r>
  <r>
    <x v="98"/>
    <n v="2018"/>
    <n v="3"/>
    <x v="0"/>
    <n v="82.14"/>
    <n v="100.52"/>
    <n v="81.7"/>
  </r>
  <r>
    <x v="99"/>
    <n v="2018"/>
    <n v="4"/>
    <x v="0"/>
    <n v="89.2"/>
    <n v="110.22"/>
    <n v="80.900000000000006"/>
  </r>
  <r>
    <x v="100"/>
    <n v="2018"/>
    <n v="5"/>
    <x v="0"/>
    <n v="89.83"/>
    <n v="113.37"/>
    <n v="79.2"/>
  </r>
  <r>
    <x v="101"/>
    <n v="2018"/>
    <n v="6"/>
    <x v="0"/>
    <n v="99.87"/>
    <n v="125.62"/>
    <n v="79.5"/>
  </r>
  <r>
    <x v="102"/>
    <n v="2018"/>
    <n v="7"/>
    <x v="0"/>
    <n v="108.24"/>
    <n v="133.52000000000001"/>
    <n v="81.099999999999994"/>
  </r>
  <r>
    <x v="103"/>
    <n v="2018"/>
    <n v="8"/>
    <x v="0"/>
    <n v="117.14"/>
    <n v="149.16999999999999"/>
    <n v="78.5"/>
  </r>
  <r>
    <x v="104"/>
    <n v="2018"/>
    <n v="9"/>
    <x v="0"/>
    <n v="108.09"/>
    <n v="135.55000000000001"/>
    <n v="79.7"/>
  </r>
  <r>
    <x v="105"/>
    <n v="2018"/>
    <n v="10"/>
    <x v="0"/>
    <n v="100.96"/>
    <n v="122.69"/>
    <n v="82.3"/>
  </r>
  <r>
    <x v="106"/>
    <n v="2018"/>
    <n v="11"/>
    <x v="0"/>
    <n v="89.1"/>
    <n v="108.04"/>
    <n v="82.5"/>
  </r>
  <r>
    <x v="107"/>
    <n v="2018"/>
    <n v="12"/>
    <x v="0"/>
    <n v="93.79"/>
    <n v="115.66"/>
    <n v="81.099999999999994"/>
  </r>
  <r>
    <x v="108"/>
    <n v="2019"/>
    <n v="1"/>
    <x v="0"/>
    <n v="84.18"/>
    <n v="100.16"/>
    <n v="84"/>
  </r>
  <r>
    <x v="109"/>
    <n v="2019"/>
    <n v="2"/>
    <x v="0"/>
    <n v="77.319999999999993"/>
    <n v="95.65"/>
    <n v="80.8"/>
  </r>
  <r>
    <x v="110"/>
    <n v="2019"/>
    <n v="3"/>
    <x v="0"/>
    <n v="70.569999999999993"/>
    <n v="84.73"/>
    <n v="83.3"/>
  </r>
  <r>
    <x v="111"/>
    <n v="2019"/>
    <n v="4"/>
    <x v="0"/>
    <n v="75.819999999999993"/>
    <n v="94.81"/>
    <n v="80"/>
  </r>
  <r>
    <x v="112"/>
    <n v="2019"/>
    <n v="5"/>
    <x v="0"/>
    <n v="77.959999999999994"/>
    <n v="96.45"/>
    <n v="80.8"/>
  </r>
  <r>
    <x v="113"/>
    <n v="2019"/>
    <n v="6"/>
    <x v="0"/>
    <n v="77.33"/>
    <n v="92.93"/>
    <n v="83.2"/>
  </r>
  <r>
    <x v="114"/>
    <n v="2019"/>
    <n v="7"/>
    <x v="0"/>
    <n v="74.349999999999994"/>
    <n v="88.42"/>
    <n v="84.1"/>
  </r>
  <r>
    <x v="115"/>
    <n v="2019"/>
    <n v="8"/>
    <x v="0"/>
    <n v="70.489999999999995"/>
    <n v="87.37"/>
    <n v="80.7"/>
  </r>
  <r>
    <x v="116"/>
    <n v="2019"/>
    <n v="9"/>
    <x v="0"/>
    <n v="71.02"/>
    <n v="84.29"/>
    <n v="84.3"/>
  </r>
  <r>
    <x v="117"/>
    <n v="2019"/>
    <n v="10"/>
    <x v="0"/>
    <n v="59.03"/>
    <n v="73.680000000000007"/>
    <n v="80.099999999999994"/>
  </r>
  <r>
    <x v="118"/>
    <n v="2019"/>
    <n v="11"/>
    <x v="0"/>
    <n v="49.38"/>
    <n v="60.11"/>
    <n v="82.1"/>
  </r>
  <r>
    <x v="119"/>
    <n v="2019"/>
    <n v="12"/>
    <x v="0"/>
    <n v="42.21"/>
    <n v="51.59"/>
    <n v="81.8"/>
  </r>
  <r>
    <x v="120"/>
    <n v="2020"/>
    <n v="1"/>
    <x v="0"/>
    <n v="35.64"/>
    <n v="43.69"/>
    <n v="81.599999999999994"/>
  </r>
  <r>
    <x v="121"/>
    <n v="2020"/>
    <n v="2"/>
    <x v="0"/>
    <n v="34.700000000000003"/>
    <n v="42.85"/>
    <n v="81"/>
  </r>
  <r>
    <x v="122"/>
    <n v="2020"/>
    <n v="3"/>
    <x v="0"/>
    <n v="5.94"/>
    <n v="10.79"/>
    <n v="55"/>
  </r>
  <r>
    <x v="123"/>
    <n v="2020"/>
    <n v="4"/>
    <x v="0"/>
    <n v="6.33"/>
    <n v="11.51"/>
    <n v="55"/>
  </r>
  <r>
    <x v="124"/>
    <n v="2020"/>
    <n v="5"/>
    <x v="0"/>
    <n v="7.15"/>
    <n v="13"/>
    <n v="55"/>
  </r>
  <r>
    <x v="125"/>
    <n v="2020"/>
    <n v="6"/>
    <x v="0"/>
    <n v="8.2799999999999994"/>
    <n v="15.06"/>
    <n v="55"/>
  </r>
  <r>
    <x v="126"/>
    <n v="2020"/>
    <n v="7"/>
    <x v="0"/>
    <n v="55.13"/>
    <n v="100.24"/>
    <n v="55"/>
  </r>
  <r>
    <x v="127"/>
    <n v="2020"/>
    <n v="8"/>
    <x v="0"/>
    <n v="20.6"/>
    <n v="37.450000000000003"/>
    <n v="55"/>
  </r>
  <r>
    <x v="128"/>
    <n v="2020"/>
    <n v="9"/>
    <x v="0"/>
    <n v="21.56"/>
    <n v="39.19"/>
    <n v="55"/>
  </r>
  <r>
    <x v="129"/>
    <n v="2020"/>
    <n v="10"/>
    <x v="0"/>
    <n v="21.5"/>
    <n v="39.090000000000003"/>
    <n v="55"/>
  </r>
  <r>
    <x v="130"/>
    <n v="2020"/>
    <n v="11"/>
    <x v="0"/>
    <n v="19.670000000000002"/>
    <n v="35.76"/>
    <n v="55"/>
  </r>
  <r>
    <x v="131"/>
    <n v="2020"/>
    <n v="12"/>
    <x v="0"/>
    <n v="18.739999999999998"/>
    <n v="34.07"/>
    <n v="55"/>
  </r>
  <r>
    <x v="132"/>
    <n v="2021"/>
    <n v="1"/>
    <x v="0"/>
    <n v="53.64"/>
    <n v="62.8"/>
    <n v="85.4"/>
  </r>
  <r>
    <x v="133"/>
    <n v="2021"/>
    <n v="2"/>
    <x v="0"/>
    <n v="25.44"/>
    <n v="31.82"/>
    <n v="79.900000000000006"/>
  </r>
  <r>
    <x v="134"/>
    <n v="2021"/>
    <n v="3"/>
    <x v="0"/>
    <n v="25.01"/>
    <n v="31.41"/>
    <n v="79.599999999999994"/>
  </r>
  <r>
    <x v="135"/>
    <n v="2021"/>
    <n v="4"/>
    <x v="0"/>
    <n v="26.58"/>
    <n v="32.93"/>
    <n v="80.7"/>
  </r>
  <r>
    <x v="136"/>
    <n v="2021"/>
    <n v="5"/>
    <x v="0"/>
    <n v="29.21"/>
    <n v="36.56"/>
    <n v="79.900000000000006"/>
  </r>
  <r>
    <x v="137"/>
    <n v="2021"/>
    <n v="6"/>
    <x v="0"/>
    <n v="33.049999999999997"/>
    <n v="41.54"/>
    <n v="79.599999999999994"/>
  </r>
  <r>
    <x v="138"/>
    <n v="2021"/>
    <n v="7"/>
    <x v="0"/>
    <n v="81.41"/>
    <n v="101.55"/>
    <n v="80.2"/>
  </r>
  <r>
    <x v="139"/>
    <n v="2021"/>
    <n v="8"/>
    <x v="0"/>
    <n v="58.45"/>
    <n v="72.08"/>
    <n v="81.099999999999994"/>
  </r>
  <r>
    <x v="140"/>
    <n v="2021"/>
    <n v="9"/>
    <x v="0"/>
    <n v="54.1"/>
    <n v="68.13"/>
    <n v="79.400000000000006"/>
  </r>
  <r>
    <x v="141"/>
    <n v="2021"/>
    <n v="10"/>
    <x v="0"/>
    <n v="55.25"/>
    <n v="65.59"/>
    <n v="84.2"/>
  </r>
  <r>
    <x v="142"/>
    <n v="2021"/>
    <n v="11"/>
    <x v="0"/>
    <n v="50.33"/>
    <n v="63.47"/>
    <n v="79.3"/>
  </r>
  <r>
    <x v="143"/>
    <n v="2021"/>
    <n v="12"/>
    <x v="0"/>
    <n v="47.42"/>
    <n v="59.46"/>
    <n v="79.8"/>
  </r>
  <r>
    <x v="144"/>
    <n v="2022"/>
    <n v="1"/>
    <x v="0"/>
    <n v="72.73"/>
    <n v="86.98"/>
    <n v="83.6"/>
  </r>
  <r>
    <x v="145"/>
    <n v="2022"/>
    <n v="2"/>
    <x v="0"/>
    <n v="68.760000000000005"/>
    <n v="89.16"/>
    <n v="77.099999999999994"/>
  </r>
  <r>
    <x v="146"/>
    <n v="2022"/>
    <n v="3"/>
    <x v="0"/>
    <n v="68.709999999999994"/>
    <n v="82.41"/>
    <n v="83.4"/>
  </r>
  <r>
    <x v="147"/>
    <n v="2022"/>
    <n v="4"/>
    <x v="0"/>
    <n v="78.66"/>
    <n v="93.4"/>
    <n v="84.2"/>
  </r>
  <r>
    <x v="148"/>
    <n v="2022"/>
    <n v="5"/>
    <x v="0"/>
    <n v="78.81"/>
    <n v="95.41"/>
    <n v="82.6"/>
  </r>
  <r>
    <x v="149"/>
    <n v="2022"/>
    <n v="6"/>
    <x v="0"/>
    <n v="92.35"/>
    <n v="117.37"/>
    <n v="78.7"/>
  </r>
  <r>
    <x v="150"/>
    <n v="2022"/>
    <n v="7"/>
    <x v="0"/>
    <n v="94.89"/>
    <n v="114.95"/>
    <n v="82.5"/>
  </r>
  <r>
    <x v="151"/>
    <n v="2022"/>
    <n v="8"/>
    <x v="0"/>
    <n v="96.49"/>
    <n v="123.24"/>
    <n v="78.3"/>
  </r>
  <r>
    <x v="152"/>
    <n v="2022"/>
    <n v="9"/>
    <x v="0"/>
    <n v="95.48"/>
    <n v="117.38"/>
    <n v="81.3"/>
  </r>
  <r>
    <x v="153"/>
    <n v="2022"/>
    <n v="10"/>
    <x v="0"/>
    <n v="92.04"/>
    <n v="113.81"/>
    <n v="80.900000000000006"/>
  </r>
  <r>
    <x v="154"/>
    <n v="2022"/>
    <n v="11"/>
    <x v="0"/>
    <n v="85.52"/>
    <n v="104.4"/>
    <n v="81.900000000000006"/>
  </r>
  <r>
    <x v="155"/>
    <n v="2022"/>
    <n v="12"/>
    <x v="0"/>
    <n v="81.86"/>
    <n v="100.58"/>
    <n v="81.400000000000006"/>
  </r>
  <r>
    <x v="156"/>
    <n v="2023"/>
    <n v="1"/>
    <x v="0"/>
    <n v="75.63"/>
    <n v="92.03"/>
    <n v="82.2"/>
  </r>
  <r>
    <x v="157"/>
    <n v="2023"/>
    <n v="2"/>
    <x v="0"/>
    <n v="71.150000000000006"/>
    <n v="85.77"/>
    <n v="83"/>
  </r>
  <r>
    <x v="158"/>
    <n v="2023"/>
    <n v="3"/>
    <x v="0"/>
    <n v="77.73"/>
    <n v="94.7"/>
    <n v="82.1"/>
  </r>
  <r>
    <x v="159"/>
    <n v="2023"/>
    <n v="4"/>
    <x v="0"/>
    <n v="85.68"/>
    <n v="109.72"/>
    <n v="78.099999999999994"/>
  </r>
  <r>
    <x v="160"/>
    <n v="2023"/>
    <n v="5"/>
    <x v="0"/>
    <n v="85.45"/>
    <n v="103.52"/>
    <n v="82.5"/>
  </r>
  <r>
    <x v="161"/>
    <n v="2023"/>
    <n v="6"/>
    <x v="0"/>
    <n v="98.16"/>
    <n v="119.22"/>
    <n v="82.3"/>
  </r>
  <r>
    <x v="162"/>
    <n v="2023"/>
    <n v="7"/>
    <x v="0"/>
    <n v="102.52"/>
    <n v="123.03"/>
    <n v="83.3"/>
  </r>
  <r>
    <x v="163"/>
    <n v="2023"/>
    <n v="8"/>
    <x v="0"/>
    <n v="109.59"/>
    <n v="132.09"/>
    <n v="83"/>
  </r>
  <r>
    <x v="164"/>
    <n v="2023"/>
    <n v="9"/>
    <x v="0"/>
    <n v="104.64"/>
    <n v="134.52000000000001"/>
    <n v="77.8"/>
  </r>
  <r>
    <x v="165"/>
    <n v="2023"/>
    <n v="10"/>
    <x v="0"/>
    <n v="103.41"/>
    <n v="122.46"/>
    <n v="84.4"/>
  </r>
  <r>
    <x v="166"/>
    <n v="2023"/>
    <n v="11"/>
    <x v="0"/>
    <n v="96.52"/>
    <n v="120.28"/>
    <n v="80.2"/>
  </r>
  <r>
    <x v="167"/>
    <n v="2023"/>
    <n v="12"/>
    <x v="0"/>
    <n v="89.98"/>
    <n v="107.48"/>
    <n v="83.7"/>
  </r>
  <r>
    <x v="168"/>
    <n v="2024"/>
    <n v="1"/>
    <x v="0"/>
    <n v="87.53"/>
    <n v="109.07"/>
    <n v="80.2"/>
  </r>
  <r>
    <x v="169"/>
    <n v="2024"/>
    <n v="2"/>
    <x v="0"/>
    <n v="81.260000000000005"/>
    <n v="97.32"/>
    <n v="83.5"/>
  </r>
  <r>
    <x v="170"/>
    <n v="2024"/>
    <n v="3"/>
    <x v="0"/>
    <n v="84.11"/>
    <n v="105.45"/>
    <n v="79.8"/>
  </r>
  <r>
    <x v="171"/>
    <n v="2024"/>
    <n v="4"/>
    <x v="0"/>
    <n v="90.61"/>
    <n v="108.97"/>
    <n v="83.2"/>
  </r>
  <r>
    <x v="172"/>
    <n v="2024"/>
    <n v="5"/>
    <x v="0"/>
    <n v="97.26"/>
    <n v="117.97"/>
    <n v="82.4"/>
  </r>
  <r>
    <x v="173"/>
    <n v="2024"/>
    <n v="6"/>
    <x v="0"/>
    <n v="103.74"/>
    <n v="122.1"/>
    <n v="85"/>
  </r>
  <r>
    <x v="174"/>
    <n v="2024"/>
    <n v="7"/>
    <x v="0"/>
    <n v="107.23"/>
    <n v="132.66999999999999"/>
    <n v="80.8"/>
  </r>
  <r>
    <x v="175"/>
    <n v="2024"/>
    <n v="8"/>
    <x v="0"/>
    <n v="112.45"/>
    <n v="134.26"/>
    <n v="83.8"/>
  </r>
  <r>
    <x v="176"/>
    <n v="2024"/>
    <n v="9"/>
    <x v="0"/>
    <n v="105.87"/>
    <n v="133.37"/>
    <n v="79.400000000000006"/>
  </r>
  <r>
    <x v="177"/>
    <n v="2024"/>
    <n v="10"/>
    <x v="0"/>
    <n v="99.36"/>
    <n v="121.07"/>
    <n v="82.1"/>
  </r>
  <r>
    <x v="178"/>
    <n v="2024"/>
    <n v="11"/>
    <x v="0"/>
    <n v="95.25"/>
    <n v="117.26"/>
    <n v="81.2"/>
  </r>
  <r>
    <x v="179"/>
    <n v="2024"/>
    <n v="12"/>
    <x v="0"/>
    <n v="93.17"/>
    <n v="115.43"/>
    <n v="80.7"/>
  </r>
  <r>
    <x v="180"/>
    <n v="2025"/>
    <n v="1"/>
    <x v="0"/>
    <n v="86.74"/>
    <n v="106.56"/>
    <n v="81.400000000000006"/>
  </r>
  <r>
    <x v="181"/>
    <n v="2025"/>
    <n v="2"/>
    <x v="0"/>
    <n v="86.08"/>
    <n v="103.77"/>
    <n v="83"/>
  </r>
  <r>
    <x v="182"/>
    <n v="2025"/>
    <n v="3"/>
    <x v="0"/>
    <n v="84.8"/>
    <n v="103.84"/>
    <n v="81.7"/>
  </r>
  <r>
    <x v="183"/>
    <n v="2025"/>
    <n v="4"/>
    <x v="0"/>
    <n v="95.2"/>
    <n v="115"/>
    <n v="82.8"/>
  </r>
  <r>
    <x v="184"/>
    <n v="2025"/>
    <n v="5"/>
    <x v="0"/>
    <n v="95.9"/>
    <n v="115.11"/>
    <n v="83.3"/>
  </r>
  <r>
    <x v="185"/>
    <n v="2025"/>
    <n v="6"/>
    <x v="0"/>
    <n v="104.32"/>
    <n v="122.98"/>
    <n v="84.8"/>
  </r>
  <r>
    <x v="186"/>
    <n v="2025"/>
    <n v="7"/>
    <x v="0"/>
    <n v="117.1"/>
    <n v="141.80000000000001"/>
    <n v="82.6"/>
  </r>
  <r>
    <x v="187"/>
    <n v="2025"/>
    <n v="8"/>
    <x v="0"/>
    <n v="116.41"/>
    <n v="142.69"/>
    <n v="81.599999999999994"/>
  </r>
  <r>
    <x v="188"/>
    <n v="2025"/>
    <n v="9"/>
    <x v="0"/>
    <n v="116.47"/>
    <n v="143.33000000000001"/>
    <n v="81.3"/>
  </r>
  <r>
    <x v="189"/>
    <n v="2025"/>
    <n v="10"/>
    <x v="0"/>
    <n v="109.62"/>
    <n v="130.88999999999999"/>
    <n v="83.7"/>
  </r>
  <r>
    <x v="190"/>
    <n v="2025"/>
    <n v="11"/>
    <x v="0"/>
    <n v="99.8"/>
    <n v="123.57"/>
    <n v="80.8"/>
  </r>
  <r>
    <x v="191"/>
    <n v="2025"/>
    <n v="12"/>
    <x v="0"/>
    <n v="90.81"/>
    <n v="113.69"/>
    <n v="79.900000000000006"/>
  </r>
  <r>
    <x v="192"/>
    <n v="2026"/>
    <n v="1"/>
    <x v="0"/>
    <n v="84.01"/>
    <n v="100.66"/>
    <n v="83.5"/>
  </r>
  <r>
    <x v="193"/>
    <n v="2026"/>
    <n v="2"/>
    <x v="0"/>
    <n v="91.53"/>
    <n v="107.88"/>
    <n v="84.9"/>
  </r>
  <r>
    <x v="194"/>
    <n v="2026"/>
    <n v="3"/>
    <x v="0"/>
    <n v="84.52"/>
    <n v="101.29"/>
    <n v="83.4"/>
  </r>
  <r>
    <x v="195"/>
    <n v="2026"/>
    <n v="4"/>
    <x v="0"/>
    <n v="98.46"/>
    <n v="121.43"/>
    <n v="81.099999999999994"/>
  </r>
  <r>
    <x v="0"/>
    <n v="2010"/>
    <n v="1"/>
    <x v="1"/>
    <n v="68.069999999999993"/>
    <n v="87.29"/>
    <n v="78"/>
  </r>
  <r>
    <x v="1"/>
    <n v="2010"/>
    <n v="2"/>
    <x v="1"/>
    <n v="67.150000000000006"/>
    <n v="84.07"/>
    <n v="79.900000000000006"/>
  </r>
  <r>
    <x v="2"/>
    <n v="2010"/>
    <n v="3"/>
    <x v="1"/>
    <n v="68.92"/>
    <n v="87.37"/>
    <n v="78.900000000000006"/>
  </r>
  <r>
    <x v="3"/>
    <n v="2010"/>
    <n v="4"/>
    <x v="1"/>
    <n v="74.37"/>
    <n v="88.48"/>
    <n v="84"/>
  </r>
  <r>
    <x v="4"/>
    <n v="2010"/>
    <n v="5"/>
    <x v="1"/>
    <n v="77.62"/>
    <n v="97.36"/>
    <n v="79.7"/>
  </r>
  <r>
    <x v="5"/>
    <n v="2010"/>
    <n v="6"/>
    <x v="1"/>
    <n v="80.45"/>
    <n v="98.75"/>
    <n v="81.5"/>
  </r>
  <r>
    <x v="6"/>
    <n v="2010"/>
    <n v="7"/>
    <x v="1"/>
    <n v="89.05"/>
    <n v="112.87"/>
    <n v="78.900000000000006"/>
  </r>
  <r>
    <x v="7"/>
    <n v="2010"/>
    <n v="8"/>
    <x v="1"/>
    <n v="93.92"/>
    <n v="115.81"/>
    <n v="81.099999999999994"/>
  </r>
  <r>
    <x v="8"/>
    <n v="2010"/>
    <n v="9"/>
    <x v="1"/>
    <n v="88.54"/>
    <n v="109.46"/>
    <n v="80.900000000000006"/>
  </r>
  <r>
    <x v="9"/>
    <n v="2010"/>
    <n v="10"/>
    <x v="1"/>
    <n v="90.25"/>
    <n v="108.47"/>
    <n v="83.2"/>
  </r>
  <r>
    <x v="10"/>
    <n v="2010"/>
    <n v="11"/>
    <x v="1"/>
    <n v="81.349999999999994"/>
    <n v="97.73"/>
    <n v="83.2"/>
  </r>
  <r>
    <x v="11"/>
    <n v="2010"/>
    <n v="12"/>
    <x v="1"/>
    <n v="73.28"/>
    <n v="89.3"/>
    <n v="82.1"/>
  </r>
  <r>
    <x v="12"/>
    <n v="2011"/>
    <n v="1"/>
    <x v="1"/>
    <n v="72.010000000000005"/>
    <n v="88.84"/>
    <n v="81.099999999999994"/>
  </r>
  <r>
    <x v="13"/>
    <n v="2011"/>
    <n v="2"/>
    <x v="1"/>
    <n v="71.28"/>
    <n v="88.61"/>
    <n v="80.400000000000006"/>
  </r>
  <r>
    <x v="14"/>
    <n v="2011"/>
    <n v="3"/>
    <x v="1"/>
    <n v="73.45"/>
    <n v="88.38"/>
    <n v="83.1"/>
  </r>
  <r>
    <x v="15"/>
    <n v="2011"/>
    <n v="4"/>
    <x v="1"/>
    <n v="70.77"/>
    <n v="83.86"/>
    <n v="84.4"/>
  </r>
  <r>
    <x v="16"/>
    <n v="2011"/>
    <n v="5"/>
    <x v="1"/>
    <n v="76.540000000000006"/>
    <n v="94.76"/>
    <n v="80.8"/>
  </r>
  <r>
    <x v="17"/>
    <n v="2011"/>
    <n v="6"/>
    <x v="1"/>
    <n v="93.38"/>
    <n v="114.77"/>
    <n v="81.400000000000006"/>
  </r>
  <r>
    <x v="18"/>
    <n v="2011"/>
    <n v="7"/>
    <x v="1"/>
    <n v="91.48"/>
    <n v="114.61"/>
    <n v="79.8"/>
  </r>
  <r>
    <x v="19"/>
    <n v="2011"/>
    <n v="8"/>
    <x v="1"/>
    <n v="100.77"/>
    <n v="128.93"/>
    <n v="78.2"/>
  </r>
  <r>
    <x v="20"/>
    <n v="2011"/>
    <n v="9"/>
    <x v="1"/>
    <n v="99.74"/>
    <n v="121.8"/>
    <n v="81.900000000000006"/>
  </r>
  <r>
    <x v="21"/>
    <n v="2011"/>
    <n v="10"/>
    <x v="1"/>
    <n v="88.89"/>
    <n v="109.97"/>
    <n v="80.8"/>
  </r>
  <r>
    <x v="22"/>
    <n v="2011"/>
    <n v="11"/>
    <x v="1"/>
    <n v="83.48"/>
    <n v="99.7"/>
    <n v="83.7"/>
  </r>
  <r>
    <x v="23"/>
    <n v="2011"/>
    <n v="12"/>
    <x v="1"/>
    <n v="81.73"/>
    <n v="104.03"/>
    <n v="78.599999999999994"/>
  </r>
  <r>
    <x v="24"/>
    <n v="2012"/>
    <n v="1"/>
    <x v="1"/>
    <n v="74.62"/>
    <n v="92.95"/>
    <n v="80.3"/>
  </r>
  <r>
    <x v="25"/>
    <n v="2012"/>
    <n v="2"/>
    <x v="1"/>
    <n v="77.02"/>
    <n v="97.13"/>
    <n v="79.3"/>
  </r>
  <r>
    <x v="26"/>
    <n v="2012"/>
    <n v="3"/>
    <x v="1"/>
    <n v="79.92"/>
    <n v="97.54"/>
    <n v="81.900000000000006"/>
  </r>
  <r>
    <x v="27"/>
    <n v="2012"/>
    <n v="4"/>
    <x v="1"/>
    <n v="78.52"/>
    <n v="97.37"/>
    <n v="80.599999999999994"/>
  </r>
  <r>
    <x v="28"/>
    <n v="2012"/>
    <n v="5"/>
    <x v="1"/>
    <n v="86.17"/>
    <n v="108.46"/>
    <n v="79.5"/>
  </r>
  <r>
    <x v="29"/>
    <n v="2012"/>
    <n v="6"/>
    <x v="1"/>
    <n v="95.55"/>
    <n v="120.12"/>
    <n v="79.5"/>
  </r>
  <r>
    <x v="30"/>
    <n v="2012"/>
    <n v="7"/>
    <x v="1"/>
    <n v="94.19"/>
    <n v="115.94"/>
    <n v="81.2"/>
  </r>
  <r>
    <x v="31"/>
    <n v="2012"/>
    <n v="8"/>
    <x v="1"/>
    <n v="97.36"/>
    <n v="120.95"/>
    <n v="80.5"/>
  </r>
  <r>
    <x v="32"/>
    <n v="2012"/>
    <n v="9"/>
    <x v="1"/>
    <n v="98.66"/>
    <n v="122.93"/>
    <n v="80.3"/>
  </r>
  <r>
    <x v="33"/>
    <n v="2012"/>
    <n v="10"/>
    <x v="1"/>
    <n v="102.85"/>
    <n v="125.25"/>
    <n v="82.1"/>
  </r>
  <r>
    <x v="34"/>
    <n v="2012"/>
    <n v="11"/>
    <x v="1"/>
    <n v="91.14"/>
    <n v="116.17"/>
    <n v="78.400000000000006"/>
  </r>
  <r>
    <x v="35"/>
    <n v="2012"/>
    <n v="12"/>
    <x v="1"/>
    <n v="82.39"/>
    <n v="99.95"/>
    <n v="82.4"/>
  </r>
  <r>
    <x v="36"/>
    <n v="2013"/>
    <n v="1"/>
    <x v="1"/>
    <n v="76.95"/>
    <n v="91.81"/>
    <n v="83.8"/>
  </r>
  <r>
    <x v="37"/>
    <n v="2013"/>
    <n v="2"/>
    <x v="1"/>
    <n v="75.069999999999993"/>
    <n v="92.2"/>
    <n v="81.400000000000006"/>
  </r>
  <r>
    <x v="38"/>
    <n v="2013"/>
    <n v="3"/>
    <x v="1"/>
    <n v="78.599999999999994"/>
    <n v="95.47"/>
    <n v="82.3"/>
  </r>
  <r>
    <x v="39"/>
    <n v="2013"/>
    <n v="4"/>
    <x v="1"/>
    <n v="83.75"/>
    <n v="102.82"/>
    <n v="81.5"/>
  </r>
  <r>
    <x v="40"/>
    <n v="2013"/>
    <n v="5"/>
    <x v="1"/>
    <n v="92.01"/>
    <n v="114.26"/>
    <n v="80.5"/>
  </r>
  <r>
    <x v="41"/>
    <n v="2013"/>
    <n v="6"/>
    <x v="1"/>
    <n v="101.48"/>
    <n v="123.04"/>
    <n v="82.5"/>
  </r>
  <r>
    <x v="42"/>
    <n v="2013"/>
    <n v="7"/>
    <x v="1"/>
    <n v="105.25"/>
    <n v="129.72"/>
    <n v="81.099999999999994"/>
  </r>
  <r>
    <x v="43"/>
    <n v="2013"/>
    <n v="8"/>
    <x v="1"/>
    <n v="110.44"/>
    <n v="135.46"/>
    <n v="81.5"/>
  </r>
  <r>
    <x v="44"/>
    <n v="2013"/>
    <n v="9"/>
    <x v="1"/>
    <n v="105.39"/>
    <n v="128.19"/>
    <n v="82.2"/>
  </r>
  <r>
    <x v="45"/>
    <n v="2013"/>
    <n v="10"/>
    <x v="1"/>
    <n v="106.89"/>
    <n v="134.76"/>
    <n v="79.3"/>
  </r>
  <r>
    <x v="46"/>
    <n v="2013"/>
    <n v="11"/>
    <x v="1"/>
    <n v="97.08"/>
    <n v="124.13"/>
    <n v="78.2"/>
  </r>
  <r>
    <x v="47"/>
    <n v="2013"/>
    <n v="12"/>
    <x v="1"/>
    <n v="88.67"/>
    <n v="104.13"/>
    <n v="85.2"/>
  </r>
  <r>
    <x v="48"/>
    <n v="2014"/>
    <n v="1"/>
    <x v="1"/>
    <n v="84.41"/>
    <n v="102.51"/>
    <n v="82.3"/>
  </r>
  <r>
    <x v="49"/>
    <n v="2014"/>
    <n v="2"/>
    <x v="1"/>
    <n v="80.209999999999994"/>
    <n v="97.75"/>
    <n v="82.1"/>
  </r>
  <r>
    <x v="50"/>
    <n v="2014"/>
    <n v="3"/>
    <x v="1"/>
    <n v="83.19"/>
    <n v="103.43"/>
    <n v="80.400000000000006"/>
  </r>
  <r>
    <x v="51"/>
    <n v="2014"/>
    <n v="4"/>
    <x v="1"/>
    <n v="88.67"/>
    <n v="107.62"/>
    <n v="82.4"/>
  </r>
  <r>
    <x v="52"/>
    <n v="2014"/>
    <n v="5"/>
    <x v="1"/>
    <n v="94.86"/>
    <n v="118"/>
    <n v="80.400000000000006"/>
  </r>
  <r>
    <x v="53"/>
    <n v="2014"/>
    <n v="6"/>
    <x v="1"/>
    <n v="100.55"/>
    <n v="121.47"/>
    <n v="82.8"/>
  </r>
  <r>
    <x v="54"/>
    <n v="2014"/>
    <n v="7"/>
    <x v="1"/>
    <n v="112.33"/>
    <n v="136.21"/>
    <n v="82.5"/>
  </r>
  <r>
    <x v="55"/>
    <n v="2014"/>
    <n v="8"/>
    <x v="1"/>
    <n v="116.21"/>
    <n v="141.41"/>
    <n v="82.2"/>
  </r>
  <r>
    <x v="56"/>
    <n v="2014"/>
    <n v="9"/>
    <x v="1"/>
    <n v="112.65"/>
    <n v="136.37"/>
    <n v="82.6"/>
  </r>
  <r>
    <x v="57"/>
    <n v="2014"/>
    <n v="10"/>
    <x v="1"/>
    <n v="106.03"/>
    <n v="131"/>
    <n v="80.900000000000006"/>
  </r>
  <r>
    <x v="58"/>
    <n v="2014"/>
    <n v="11"/>
    <x v="1"/>
    <n v="106.08"/>
    <n v="130.81"/>
    <n v="81.099999999999994"/>
  </r>
  <r>
    <x v="59"/>
    <n v="2014"/>
    <n v="12"/>
    <x v="1"/>
    <n v="90.34"/>
    <n v="109.01"/>
    <n v="82.9"/>
  </r>
  <r>
    <x v="60"/>
    <n v="2015"/>
    <n v="1"/>
    <x v="1"/>
    <n v="87.67"/>
    <n v="110.71"/>
    <n v="79.2"/>
  </r>
  <r>
    <x v="61"/>
    <n v="2015"/>
    <n v="2"/>
    <x v="1"/>
    <n v="88.35"/>
    <n v="107.99"/>
    <n v="81.8"/>
  </r>
  <r>
    <x v="62"/>
    <n v="2015"/>
    <n v="3"/>
    <x v="1"/>
    <n v="85"/>
    <n v="100.74"/>
    <n v="84.4"/>
  </r>
  <r>
    <x v="63"/>
    <n v="2015"/>
    <n v="4"/>
    <x v="1"/>
    <n v="95.67"/>
    <n v="120.38"/>
    <n v="79.5"/>
  </r>
  <r>
    <x v="64"/>
    <n v="2015"/>
    <n v="5"/>
    <x v="1"/>
    <n v="107.59"/>
    <n v="129.13"/>
    <n v="83.3"/>
  </r>
  <r>
    <x v="65"/>
    <n v="2015"/>
    <n v="6"/>
    <x v="1"/>
    <n v="110.15"/>
    <n v="129.32"/>
    <n v="85.2"/>
  </r>
  <r>
    <x v="66"/>
    <n v="2015"/>
    <n v="7"/>
    <x v="1"/>
    <n v="116.94"/>
    <n v="142.69999999999999"/>
    <n v="81.900000000000006"/>
  </r>
  <r>
    <x v="67"/>
    <n v="2015"/>
    <n v="8"/>
    <x v="1"/>
    <n v="116.69"/>
    <n v="140.31"/>
    <n v="83.2"/>
  </r>
  <r>
    <x v="68"/>
    <n v="2015"/>
    <n v="9"/>
    <x v="1"/>
    <n v="119.2"/>
    <n v="145.32"/>
    <n v="82"/>
  </r>
  <r>
    <x v="69"/>
    <n v="2015"/>
    <n v="10"/>
    <x v="1"/>
    <n v="109.71"/>
    <n v="133.37"/>
    <n v="82.3"/>
  </r>
  <r>
    <x v="70"/>
    <n v="2015"/>
    <n v="11"/>
    <x v="1"/>
    <n v="104.78"/>
    <n v="132.08000000000001"/>
    <n v="79.3"/>
  </r>
  <r>
    <x v="71"/>
    <n v="2015"/>
    <n v="12"/>
    <x v="1"/>
    <n v="93.37"/>
    <n v="112.32"/>
    <n v="83.1"/>
  </r>
  <r>
    <x v="72"/>
    <n v="2016"/>
    <n v="1"/>
    <x v="1"/>
    <n v="85.3"/>
    <n v="103.51"/>
    <n v="82.4"/>
  </r>
  <r>
    <x v="73"/>
    <n v="2016"/>
    <n v="2"/>
    <x v="1"/>
    <n v="89.24"/>
    <n v="105.46"/>
    <n v="84.6"/>
  </r>
  <r>
    <x v="74"/>
    <n v="2016"/>
    <n v="3"/>
    <x v="1"/>
    <n v="91.73"/>
    <n v="110.1"/>
    <n v="83.3"/>
  </r>
  <r>
    <x v="75"/>
    <n v="2016"/>
    <n v="4"/>
    <x v="1"/>
    <n v="98.26"/>
    <n v="119.5"/>
    <n v="82.2"/>
  </r>
  <r>
    <x v="76"/>
    <n v="2016"/>
    <n v="5"/>
    <x v="1"/>
    <n v="110.41"/>
    <n v="136.19"/>
    <n v="81.099999999999994"/>
  </r>
  <r>
    <x v="77"/>
    <n v="2016"/>
    <n v="6"/>
    <x v="1"/>
    <n v="120.18"/>
    <n v="150.19999999999999"/>
    <n v="80"/>
  </r>
  <r>
    <x v="78"/>
    <n v="2016"/>
    <n v="7"/>
    <x v="1"/>
    <n v="124.25"/>
    <n v="148.19"/>
    <n v="83.8"/>
  </r>
  <r>
    <x v="79"/>
    <n v="2016"/>
    <n v="8"/>
    <x v="1"/>
    <n v="128.44"/>
    <n v="149.63999999999999"/>
    <n v="85.8"/>
  </r>
  <r>
    <x v="80"/>
    <n v="2016"/>
    <n v="9"/>
    <x v="1"/>
    <n v="121.48"/>
    <n v="153.30000000000001"/>
    <n v="79.2"/>
  </r>
  <r>
    <x v="81"/>
    <n v="2016"/>
    <n v="10"/>
    <x v="1"/>
    <n v="115.3"/>
    <n v="138.38"/>
    <n v="83.3"/>
  </r>
  <r>
    <x v="82"/>
    <n v="2016"/>
    <n v="11"/>
    <x v="1"/>
    <n v="112.67"/>
    <n v="137.06"/>
    <n v="82.2"/>
  </r>
  <r>
    <x v="83"/>
    <n v="2016"/>
    <n v="12"/>
    <x v="1"/>
    <n v="99.72"/>
    <n v="119.38"/>
    <n v="83.5"/>
  </r>
  <r>
    <x v="84"/>
    <n v="2017"/>
    <n v="1"/>
    <x v="1"/>
    <n v="93.94"/>
    <n v="111.41"/>
    <n v="84.3"/>
  </r>
  <r>
    <x v="85"/>
    <n v="2017"/>
    <n v="2"/>
    <x v="1"/>
    <n v="104.18"/>
    <n v="125.93"/>
    <n v="82.7"/>
  </r>
  <r>
    <x v="86"/>
    <n v="2017"/>
    <n v="3"/>
    <x v="1"/>
    <n v="100.06"/>
    <n v="123.5"/>
    <n v="81"/>
  </r>
  <r>
    <x v="87"/>
    <n v="2017"/>
    <n v="4"/>
    <x v="1"/>
    <n v="99.44"/>
    <n v="123.08"/>
    <n v="80.8"/>
  </r>
  <r>
    <x v="88"/>
    <n v="2017"/>
    <n v="5"/>
    <x v="1"/>
    <n v="110.32"/>
    <n v="139.46"/>
    <n v="79.099999999999994"/>
  </r>
  <r>
    <x v="89"/>
    <n v="2017"/>
    <n v="6"/>
    <x v="1"/>
    <n v="129.61000000000001"/>
    <n v="157.02000000000001"/>
    <n v="82.5"/>
  </r>
  <r>
    <x v="90"/>
    <n v="2017"/>
    <n v="7"/>
    <x v="1"/>
    <n v="131.43"/>
    <n v="161.49"/>
    <n v="81.400000000000006"/>
  </r>
  <r>
    <x v="91"/>
    <n v="2017"/>
    <n v="8"/>
    <x v="1"/>
    <n v="132.13999999999999"/>
    <n v="157.44"/>
    <n v="83.9"/>
  </r>
  <r>
    <x v="92"/>
    <n v="2017"/>
    <n v="9"/>
    <x v="1"/>
    <n v="130.94"/>
    <n v="157.63999999999999"/>
    <n v="83.1"/>
  </r>
  <r>
    <x v="93"/>
    <n v="2017"/>
    <n v="10"/>
    <x v="1"/>
    <n v="124.5"/>
    <n v="153.11000000000001"/>
    <n v="81.3"/>
  </r>
  <r>
    <x v="94"/>
    <n v="2017"/>
    <n v="11"/>
    <x v="1"/>
    <n v="112.16"/>
    <n v="143.72"/>
    <n v="78"/>
  </r>
  <r>
    <x v="95"/>
    <n v="2017"/>
    <n v="12"/>
    <x v="1"/>
    <n v="107.84"/>
    <n v="131.33000000000001"/>
    <n v="82.1"/>
  </r>
  <r>
    <x v="96"/>
    <n v="2018"/>
    <n v="1"/>
    <x v="1"/>
    <n v="98.79"/>
    <n v="120.57"/>
    <n v="81.900000000000006"/>
  </r>
  <r>
    <x v="97"/>
    <n v="2018"/>
    <n v="2"/>
    <x v="1"/>
    <n v="100.89"/>
    <n v="129.86000000000001"/>
    <n v="77.7"/>
  </r>
  <r>
    <x v="98"/>
    <n v="2018"/>
    <n v="3"/>
    <x v="1"/>
    <n v="100.74"/>
    <n v="121.64"/>
    <n v="82.8"/>
  </r>
  <r>
    <x v="99"/>
    <n v="2018"/>
    <n v="4"/>
    <x v="1"/>
    <n v="111.83"/>
    <n v="140.32"/>
    <n v="79.7"/>
  </r>
  <r>
    <x v="100"/>
    <n v="2018"/>
    <n v="5"/>
    <x v="1"/>
    <n v="120.57"/>
    <n v="143.46"/>
    <n v="84"/>
  </r>
  <r>
    <x v="101"/>
    <n v="2018"/>
    <n v="6"/>
    <x v="1"/>
    <n v="132.59"/>
    <n v="162.08000000000001"/>
    <n v="81.8"/>
  </r>
  <r>
    <x v="102"/>
    <n v="2018"/>
    <n v="7"/>
    <x v="1"/>
    <n v="134.81"/>
    <n v="166.97"/>
    <n v="80.7"/>
  </r>
  <r>
    <x v="103"/>
    <n v="2018"/>
    <n v="8"/>
    <x v="1"/>
    <n v="141.69999999999999"/>
    <n v="171.99"/>
    <n v="82.4"/>
  </r>
  <r>
    <x v="104"/>
    <n v="2018"/>
    <n v="9"/>
    <x v="1"/>
    <n v="140.47999999999999"/>
    <n v="170.76"/>
    <n v="82.3"/>
  </r>
  <r>
    <x v="105"/>
    <n v="2018"/>
    <n v="10"/>
    <x v="1"/>
    <n v="134.96"/>
    <n v="164.21"/>
    <n v="82.2"/>
  </r>
  <r>
    <x v="106"/>
    <n v="2018"/>
    <n v="11"/>
    <x v="1"/>
    <n v="125.93"/>
    <n v="150.38"/>
    <n v="83.7"/>
  </r>
  <r>
    <x v="107"/>
    <n v="2018"/>
    <n v="12"/>
    <x v="1"/>
    <n v="111.51"/>
    <n v="142.27000000000001"/>
    <n v="78.400000000000006"/>
  </r>
  <r>
    <x v="108"/>
    <n v="2019"/>
    <n v="1"/>
    <x v="1"/>
    <n v="113.01"/>
    <n v="136.94999999999999"/>
    <n v="82.5"/>
  </r>
  <r>
    <x v="109"/>
    <n v="2019"/>
    <n v="2"/>
    <x v="1"/>
    <n v="94.53"/>
    <n v="117.32"/>
    <n v="80.599999999999994"/>
  </r>
  <r>
    <x v="110"/>
    <n v="2019"/>
    <n v="3"/>
    <x v="1"/>
    <n v="98.1"/>
    <n v="120.46"/>
    <n v="81.400000000000006"/>
  </r>
  <r>
    <x v="111"/>
    <n v="2019"/>
    <n v="4"/>
    <x v="1"/>
    <n v="94.05"/>
    <n v="110.91"/>
    <n v="84.8"/>
  </r>
  <r>
    <x v="112"/>
    <n v="2019"/>
    <n v="5"/>
    <x v="1"/>
    <n v="93.35"/>
    <n v="116.11"/>
    <n v="80.400000000000006"/>
  </r>
  <r>
    <x v="113"/>
    <n v="2019"/>
    <n v="6"/>
    <x v="1"/>
    <n v="96.73"/>
    <n v="116.86"/>
    <n v="82.8"/>
  </r>
  <r>
    <x v="114"/>
    <n v="2019"/>
    <n v="7"/>
    <x v="1"/>
    <n v="94.62"/>
    <n v="112.88"/>
    <n v="83.8"/>
  </r>
  <r>
    <x v="115"/>
    <n v="2019"/>
    <n v="8"/>
    <x v="1"/>
    <n v="87.44"/>
    <n v="105.38"/>
    <n v="83"/>
  </r>
  <r>
    <x v="116"/>
    <n v="2019"/>
    <n v="9"/>
    <x v="1"/>
    <n v="76.989999999999995"/>
    <n v="93.74"/>
    <n v="82.1"/>
  </r>
  <r>
    <x v="117"/>
    <n v="2019"/>
    <n v="10"/>
    <x v="1"/>
    <n v="66.599999999999994"/>
    <n v="80.790000000000006"/>
    <n v="82.4"/>
  </r>
  <r>
    <x v="118"/>
    <n v="2019"/>
    <n v="11"/>
    <x v="1"/>
    <n v="56.12"/>
    <n v="67.52"/>
    <n v="83.1"/>
  </r>
  <r>
    <x v="119"/>
    <n v="2019"/>
    <n v="12"/>
    <x v="1"/>
    <n v="44.38"/>
    <n v="55.21"/>
    <n v="80.400000000000006"/>
  </r>
  <r>
    <x v="120"/>
    <n v="2020"/>
    <n v="1"/>
    <x v="1"/>
    <n v="35.75"/>
    <n v="43.62"/>
    <n v="81.900000000000006"/>
  </r>
  <r>
    <x v="121"/>
    <n v="2020"/>
    <n v="2"/>
    <x v="1"/>
    <n v="36.799999999999997"/>
    <n v="42.58"/>
    <n v="86.4"/>
  </r>
  <r>
    <x v="122"/>
    <n v="2020"/>
    <n v="3"/>
    <x v="1"/>
    <n v="5.79"/>
    <n v="10.53"/>
    <n v="55"/>
  </r>
  <r>
    <x v="123"/>
    <n v="2020"/>
    <n v="4"/>
    <x v="1"/>
    <n v="6.75"/>
    <n v="12.28"/>
    <n v="55"/>
  </r>
  <r>
    <x v="124"/>
    <n v="2020"/>
    <n v="5"/>
    <x v="1"/>
    <n v="7.91"/>
    <n v="14.38"/>
    <n v="55"/>
  </r>
  <r>
    <x v="125"/>
    <n v="2020"/>
    <n v="6"/>
    <x v="1"/>
    <n v="8.34"/>
    <n v="15.16"/>
    <n v="55"/>
  </r>
  <r>
    <x v="126"/>
    <n v="2020"/>
    <n v="7"/>
    <x v="1"/>
    <n v="59.54"/>
    <n v="108.25"/>
    <n v="55"/>
  </r>
  <r>
    <x v="127"/>
    <n v="2020"/>
    <n v="8"/>
    <x v="1"/>
    <n v="22.83"/>
    <n v="41.5"/>
    <n v="55"/>
  </r>
  <r>
    <x v="128"/>
    <n v="2020"/>
    <n v="9"/>
    <x v="1"/>
    <n v="23.55"/>
    <n v="42.81"/>
    <n v="55"/>
  </r>
  <r>
    <x v="129"/>
    <n v="2020"/>
    <n v="10"/>
    <x v="1"/>
    <n v="22.12"/>
    <n v="40.22"/>
    <n v="55"/>
  </r>
  <r>
    <x v="130"/>
    <n v="2020"/>
    <n v="11"/>
    <x v="1"/>
    <n v="21.75"/>
    <n v="39.549999999999997"/>
    <n v="55"/>
  </r>
  <r>
    <x v="131"/>
    <n v="2020"/>
    <n v="12"/>
    <x v="1"/>
    <n v="20.12"/>
    <n v="36.58"/>
    <n v="55"/>
  </r>
  <r>
    <x v="132"/>
    <n v="2021"/>
    <n v="1"/>
    <x v="1"/>
    <n v="58.62"/>
    <n v="72.12"/>
    <n v="81.3"/>
  </r>
  <r>
    <x v="133"/>
    <n v="2021"/>
    <n v="2"/>
    <x v="1"/>
    <n v="25.93"/>
    <n v="31.68"/>
    <n v="81.900000000000006"/>
  </r>
  <r>
    <x v="134"/>
    <n v="2021"/>
    <n v="3"/>
    <x v="1"/>
    <n v="27.85"/>
    <n v="34.68"/>
    <n v="80.3"/>
  </r>
  <r>
    <x v="135"/>
    <n v="2021"/>
    <n v="4"/>
    <x v="1"/>
    <n v="28.87"/>
    <n v="35.01"/>
    <n v="82.4"/>
  </r>
  <r>
    <x v="136"/>
    <n v="2021"/>
    <n v="5"/>
    <x v="1"/>
    <n v="33.75"/>
    <n v="40.83"/>
    <n v="82.7"/>
  </r>
  <r>
    <x v="137"/>
    <n v="2021"/>
    <n v="6"/>
    <x v="1"/>
    <n v="35.75"/>
    <n v="42.88"/>
    <n v="83.4"/>
  </r>
  <r>
    <x v="138"/>
    <n v="2021"/>
    <n v="7"/>
    <x v="1"/>
    <n v="85.91"/>
    <n v="106.12"/>
    <n v="81"/>
  </r>
  <r>
    <x v="139"/>
    <n v="2021"/>
    <n v="8"/>
    <x v="1"/>
    <n v="57.98"/>
    <n v="68.53"/>
    <n v="84.6"/>
  </r>
  <r>
    <x v="140"/>
    <n v="2021"/>
    <n v="9"/>
    <x v="1"/>
    <n v="61.25"/>
    <n v="73.61"/>
    <n v="83.2"/>
  </r>
  <r>
    <x v="141"/>
    <n v="2021"/>
    <n v="10"/>
    <x v="1"/>
    <n v="60.84"/>
    <n v="69.430000000000007"/>
    <n v="87.6"/>
  </r>
  <r>
    <x v="142"/>
    <n v="2021"/>
    <n v="11"/>
    <x v="1"/>
    <n v="53.05"/>
    <n v="65.89"/>
    <n v="80.5"/>
  </r>
  <r>
    <x v="143"/>
    <n v="2021"/>
    <n v="12"/>
    <x v="1"/>
    <n v="51.92"/>
    <n v="64.650000000000006"/>
    <n v="80.3"/>
  </r>
  <r>
    <x v="144"/>
    <n v="2022"/>
    <n v="1"/>
    <x v="1"/>
    <n v="75.819999999999993"/>
    <n v="93.14"/>
    <n v="81.400000000000006"/>
  </r>
  <r>
    <x v="145"/>
    <n v="2022"/>
    <n v="2"/>
    <x v="1"/>
    <n v="74.819999999999993"/>
    <n v="90.5"/>
    <n v="82.7"/>
  </r>
  <r>
    <x v="146"/>
    <n v="2022"/>
    <n v="3"/>
    <x v="1"/>
    <n v="80.680000000000007"/>
    <n v="97.25"/>
    <n v="83"/>
  </r>
  <r>
    <x v="147"/>
    <n v="2022"/>
    <n v="4"/>
    <x v="1"/>
    <n v="88.17"/>
    <n v="105.96"/>
    <n v="83.2"/>
  </r>
  <r>
    <x v="148"/>
    <n v="2022"/>
    <n v="5"/>
    <x v="1"/>
    <n v="94.11"/>
    <n v="109.12"/>
    <n v="86.2"/>
  </r>
  <r>
    <x v="149"/>
    <n v="2022"/>
    <n v="6"/>
    <x v="1"/>
    <n v="104.42"/>
    <n v="133.41"/>
    <n v="78.3"/>
  </r>
  <r>
    <x v="150"/>
    <n v="2022"/>
    <n v="7"/>
    <x v="1"/>
    <n v="107.18"/>
    <n v="136.5"/>
    <n v="78.5"/>
  </r>
  <r>
    <x v="151"/>
    <n v="2022"/>
    <n v="8"/>
    <x v="1"/>
    <n v="113.96"/>
    <n v="139.38999999999999"/>
    <n v="81.8"/>
  </r>
  <r>
    <x v="152"/>
    <n v="2022"/>
    <n v="9"/>
    <x v="1"/>
    <n v="111.79"/>
    <n v="129.94999999999999"/>
    <n v="86"/>
  </r>
  <r>
    <x v="153"/>
    <n v="2022"/>
    <n v="10"/>
    <x v="1"/>
    <n v="111.06"/>
    <n v="133.08000000000001"/>
    <n v="83.5"/>
  </r>
  <r>
    <x v="154"/>
    <n v="2022"/>
    <n v="11"/>
    <x v="1"/>
    <n v="100.08"/>
    <n v="125.1"/>
    <n v="80"/>
  </r>
  <r>
    <x v="155"/>
    <n v="2022"/>
    <n v="12"/>
    <x v="1"/>
    <n v="96.5"/>
    <n v="117.19"/>
    <n v="82.3"/>
  </r>
  <r>
    <x v="156"/>
    <n v="2023"/>
    <n v="1"/>
    <x v="1"/>
    <n v="86.82"/>
    <n v="106.35"/>
    <n v="81.599999999999994"/>
  </r>
  <r>
    <x v="157"/>
    <n v="2023"/>
    <n v="2"/>
    <x v="1"/>
    <n v="90.81"/>
    <n v="111.33"/>
    <n v="81.599999999999994"/>
  </r>
  <r>
    <x v="158"/>
    <n v="2023"/>
    <n v="3"/>
    <x v="1"/>
    <n v="91.78"/>
    <n v="113.41"/>
    <n v="80.900000000000006"/>
  </r>
  <r>
    <x v="159"/>
    <n v="2023"/>
    <n v="4"/>
    <x v="1"/>
    <n v="100.64"/>
    <n v="122.46"/>
    <n v="82.2"/>
  </r>
  <r>
    <x v="160"/>
    <n v="2023"/>
    <n v="5"/>
    <x v="1"/>
    <n v="112.69"/>
    <n v="133.9"/>
    <n v="84.2"/>
  </r>
  <r>
    <x v="161"/>
    <n v="2023"/>
    <n v="6"/>
    <x v="1"/>
    <n v="119.3"/>
    <n v="147.12"/>
    <n v="81.099999999999994"/>
  </r>
  <r>
    <x v="162"/>
    <n v="2023"/>
    <n v="7"/>
    <x v="1"/>
    <n v="129.65"/>
    <n v="155.79"/>
    <n v="83.2"/>
  </r>
  <r>
    <x v="163"/>
    <n v="2023"/>
    <n v="8"/>
    <x v="1"/>
    <n v="130.02000000000001"/>
    <n v="155.56"/>
    <n v="83.6"/>
  </r>
  <r>
    <x v="164"/>
    <n v="2023"/>
    <n v="9"/>
    <x v="1"/>
    <n v="134.78"/>
    <n v="159.35"/>
    <n v="84.6"/>
  </r>
  <r>
    <x v="165"/>
    <n v="2023"/>
    <n v="10"/>
    <x v="1"/>
    <n v="132.81"/>
    <n v="165.46"/>
    <n v="80.3"/>
  </r>
  <r>
    <x v="166"/>
    <n v="2023"/>
    <n v="11"/>
    <x v="1"/>
    <n v="118.47"/>
    <n v="144.43"/>
    <n v="82"/>
  </r>
  <r>
    <x v="167"/>
    <n v="2023"/>
    <n v="12"/>
    <x v="1"/>
    <n v="110.4"/>
    <n v="136.81"/>
    <n v="80.7"/>
  </r>
  <r>
    <x v="168"/>
    <n v="2024"/>
    <n v="1"/>
    <x v="1"/>
    <n v="100.69"/>
    <n v="122.52"/>
    <n v="82.2"/>
  </r>
  <r>
    <x v="169"/>
    <n v="2024"/>
    <n v="2"/>
    <x v="1"/>
    <n v="100.82"/>
    <n v="122.69"/>
    <n v="82.2"/>
  </r>
  <r>
    <x v="170"/>
    <n v="2024"/>
    <n v="3"/>
    <x v="1"/>
    <n v="103.44"/>
    <n v="129.62"/>
    <n v="79.8"/>
  </r>
  <r>
    <x v="171"/>
    <n v="2024"/>
    <n v="4"/>
    <x v="1"/>
    <n v="113.76"/>
    <n v="138.22999999999999"/>
    <n v="82.3"/>
  </r>
  <r>
    <x v="172"/>
    <n v="2024"/>
    <n v="5"/>
    <x v="1"/>
    <n v="124.65"/>
    <n v="144.32"/>
    <n v="86.4"/>
  </r>
  <r>
    <x v="173"/>
    <n v="2024"/>
    <n v="6"/>
    <x v="1"/>
    <n v="133.19"/>
    <n v="160.53"/>
    <n v="83"/>
  </r>
  <r>
    <x v="174"/>
    <n v="2024"/>
    <n v="7"/>
    <x v="1"/>
    <n v="134.83000000000001"/>
    <n v="169.76"/>
    <n v="79.400000000000006"/>
  </r>
  <r>
    <x v="175"/>
    <n v="2024"/>
    <n v="8"/>
    <x v="1"/>
    <n v="149.08000000000001"/>
    <n v="186"/>
    <n v="80.2"/>
  </r>
  <r>
    <x v="176"/>
    <n v="2024"/>
    <n v="9"/>
    <x v="1"/>
    <n v="135.79"/>
    <n v="165.75"/>
    <n v="81.900000000000006"/>
  </r>
  <r>
    <x v="177"/>
    <n v="2024"/>
    <n v="10"/>
    <x v="1"/>
    <n v="133.34"/>
    <n v="166.27"/>
    <n v="80.2"/>
  </r>
  <r>
    <x v="178"/>
    <n v="2024"/>
    <n v="11"/>
    <x v="1"/>
    <n v="123.61"/>
    <n v="146.36000000000001"/>
    <n v="84.5"/>
  </r>
  <r>
    <x v="179"/>
    <n v="2024"/>
    <n v="12"/>
    <x v="1"/>
    <n v="112.98"/>
    <n v="142.62"/>
    <n v="79.2"/>
  </r>
  <r>
    <x v="180"/>
    <n v="2025"/>
    <n v="1"/>
    <x v="1"/>
    <n v="112.33"/>
    <n v="135.36000000000001"/>
    <n v="83"/>
  </r>
  <r>
    <x v="181"/>
    <n v="2025"/>
    <n v="2"/>
    <x v="1"/>
    <n v="105.02"/>
    <n v="133.21"/>
    <n v="78.8"/>
  </r>
  <r>
    <x v="182"/>
    <n v="2025"/>
    <n v="3"/>
    <x v="1"/>
    <n v="107.42"/>
    <n v="131.18"/>
    <n v="81.900000000000006"/>
  </r>
  <r>
    <x v="183"/>
    <n v="2025"/>
    <n v="4"/>
    <x v="1"/>
    <n v="121.3"/>
    <n v="151.76"/>
    <n v="79.900000000000006"/>
  </r>
  <r>
    <x v="184"/>
    <n v="2025"/>
    <n v="5"/>
    <x v="1"/>
    <n v="126.68"/>
    <n v="151.97999999999999"/>
    <n v="83.4"/>
  </r>
  <r>
    <x v="185"/>
    <n v="2025"/>
    <n v="6"/>
    <x v="1"/>
    <n v="127.49"/>
    <n v="151.65"/>
    <n v="84.1"/>
  </r>
  <r>
    <x v="186"/>
    <n v="2025"/>
    <n v="7"/>
    <x v="1"/>
    <n v="139.31"/>
    <n v="168.53"/>
    <n v="82.7"/>
  </r>
  <r>
    <x v="187"/>
    <n v="2025"/>
    <n v="8"/>
    <x v="1"/>
    <n v="148.44"/>
    <n v="176.36"/>
    <n v="84.2"/>
  </r>
  <r>
    <x v="188"/>
    <n v="2025"/>
    <n v="9"/>
    <x v="1"/>
    <n v="147.61000000000001"/>
    <n v="191.1"/>
    <n v="77.2"/>
  </r>
  <r>
    <x v="189"/>
    <n v="2025"/>
    <n v="10"/>
    <x v="1"/>
    <n v="135.32"/>
    <n v="164.47"/>
    <n v="82.3"/>
  </r>
  <r>
    <x v="190"/>
    <n v="2025"/>
    <n v="11"/>
    <x v="1"/>
    <n v="128.5"/>
    <n v="154.9"/>
    <n v="83"/>
  </r>
  <r>
    <x v="191"/>
    <n v="2025"/>
    <n v="12"/>
    <x v="1"/>
    <n v="122.78"/>
    <n v="147.54"/>
    <n v="83.2"/>
  </r>
  <r>
    <x v="192"/>
    <n v="2026"/>
    <n v="1"/>
    <x v="1"/>
    <n v="112.39"/>
    <n v="143.52000000000001"/>
    <n v="78.3"/>
  </r>
  <r>
    <x v="193"/>
    <n v="2026"/>
    <n v="2"/>
    <x v="1"/>
    <n v="109"/>
    <n v="131.59"/>
    <n v="82.8"/>
  </r>
  <r>
    <x v="194"/>
    <n v="2026"/>
    <n v="3"/>
    <x v="1"/>
    <n v="109.47"/>
    <n v="131.47999999999999"/>
    <n v="83.3"/>
  </r>
  <r>
    <x v="195"/>
    <n v="2026"/>
    <n v="4"/>
    <x v="1"/>
    <n v="123.57"/>
    <n v="150.22999999999999"/>
    <n v="82.3"/>
  </r>
  <r>
    <x v="0"/>
    <n v="2010"/>
    <n v="1"/>
    <x v="2"/>
    <n v="61.91"/>
    <n v="77.930000000000007"/>
    <n v="79.400000000000006"/>
  </r>
  <r>
    <x v="1"/>
    <n v="2010"/>
    <n v="2"/>
    <x v="2"/>
    <n v="70.64"/>
    <n v="87.31"/>
    <n v="80.900000000000006"/>
  </r>
  <r>
    <x v="2"/>
    <n v="2010"/>
    <n v="3"/>
    <x v="2"/>
    <n v="64.819999999999993"/>
    <n v="76.739999999999995"/>
    <n v="84.5"/>
  </r>
  <r>
    <x v="3"/>
    <n v="2010"/>
    <n v="4"/>
    <x v="2"/>
    <n v="73.66"/>
    <n v="87.47"/>
    <n v="84.2"/>
  </r>
  <r>
    <x v="4"/>
    <n v="2010"/>
    <n v="5"/>
    <x v="2"/>
    <n v="80.8"/>
    <n v="97.45"/>
    <n v="82.9"/>
  </r>
  <r>
    <x v="5"/>
    <n v="2010"/>
    <n v="6"/>
    <x v="2"/>
    <n v="87.67"/>
    <n v="105.12"/>
    <n v="83.4"/>
  </r>
  <r>
    <x v="6"/>
    <n v="2010"/>
    <n v="7"/>
    <x v="2"/>
    <n v="98.24"/>
    <n v="117.03"/>
    <n v="83.9"/>
  </r>
  <r>
    <x v="7"/>
    <n v="2010"/>
    <n v="8"/>
    <x v="2"/>
    <n v="89.64"/>
    <n v="108.14"/>
    <n v="82.9"/>
  </r>
  <r>
    <x v="8"/>
    <n v="2010"/>
    <n v="9"/>
    <x v="2"/>
    <n v="96.19"/>
    <n v="113.96"/>
    <n v="84.4"/>
  </r>
  <r>
    <x v="9"/>
    <n v="2010"/>
    <n v="10"/>
    <x v="2"/>
    <n v="87.88"/>
    <n v="104.21"/>
    <n v="84.3"/>
  </r>
  <r>
    <x v="10"/>
    <n v="2010"/>
    <n v="11"/>
    <x v="2"/>
    <n v="85.69"/>
    <n v="98.32"/>
    <n v="87.1"/>
  </r>
  <r>
    <x v="11"/>
    <n v="2010"/>
    <n v="12"/>
    <x v="2"/>
    <n v="75.849999999999994"/>
    <n v="93.66"/>
    <n v="81"/>
  </r>
  <r>
    <x v="12"/>
    <n v="2011"/>
    <n v="1"/>
    <x v="2"/>
    <n v="72.760000000000005"/>
    <n v="89.81"/>
    <n v="81"/>
  </r>
  <r>
    <x v="13"/>
    <n v="2011"/>
    <n v="2"/>
    <x v="2"/>
    <n v="70.290000000000006"/>
    <n v="91.91"/>
    <n v="76.5"/>
  </r>
  <r>
    <x v="14"/>
    <n v="2011"/>
    <n v="3"/>
    <x v="2"/>
    <n v="73.400000000000006"/>
    <n v="88.71"/>
    <n v="82.7"/>
  </r>
  <r>
    <x v="15"/>
    <n v="2011"/>
    <n v="4"/>
    <x v="2"/>
    <n v="78.38"/>
    <n v="91.28"/>
    <n v="85.9"/>
  </r>
  <r>
    <x v="16"/>
    <n v="2011"/>
    <n v="5"/>
    <x v="2"/>
    <n v="86.57"/>
    <n v="102.35"/>
    <n v="84.6"/>
  </r>
  <r>
    <x v="17"/>
    <n v="2011"/>
    <n v="6"/>
    <x v="2"/>
    <n v="94.33"/>
    <n v="112.77"/>
    <n v="83.7"/>
  </r>
  <r>
    <x v="18"/>
    <n v="2011"/>
    <n v="7"/>
    <x v="2"/>
    <n v="99.81"/>
    <n v="117.79"/>
    <n v="84.7"/>
  </r>
  <r>
    <x v="19"/>
    <n v="2011"/>
    <n v="8"/>
    <x v="2"/>
    <n v="101.52"/>
    <n v="122.33"/>
    <n v="83"/>
  </r>
  <r>
    <x v="20"/>
    <n v="2011"/>
    <n v="9"/>
    <x v="2"/>
    <n v="101.29"/>
    <n v="124.4"/>
    <n v="81.400000000000006"/>
  </r>
  <r>
    <x v="21"/>
    <n v="2011"/>
    <n v="10"/>
    <x v="2"/>
    <n v="97.06"/>
    <n v="112.25"/>
    <n v="86.5"/>
  </r>
  <r>
    <x v="22"/>
    <n v="2011"/>
    <n v="11"/>
    <x v="2"/>
    <n v="89.01"/>
    <n v="107.45"/>
    <n v="82.8"/>
  </r>
  <r>
    <x v="23"/>
    <n v="2011"/>
    <n v="12"/>
    <x v="2"/>
    <n v="86.71"/>
    <n v="102.88"/>
    <n v="84.3"/>
  </r>
  <r>
    <x v="24"/>
    <n v="2012"/>
    <n v="1"/>
    <x v="2"/>
    <n v="79.03"/>
    <n v="102.33"/>
    <n v="77.2"/>
  </r>
  <r>
    <x v="25"/>
    <n v="2012"/>
    <n v="2"/>
    <x v="2"/>
    <n v="78.849999999999994"/>
    <n v="101.66"/>
    <n v="77.599999999999994"/>
  </r>
  <r>
    <x v="26"/>
    <n v="2012"/>
    <n v="3"/>
    <x v="2"/>
    <n v="83.54"/>
    <n v="101.45"/>
    <n v="82.3"/>
  </r>
  <r>
    <x v="27"/>
    <n v="2012"/>
    <n v="4"/>
    <x v="2"/>
    <n v="88.07"/>
    <n v="109.82"/>
    <n v="80.2"/>
  </r>
  <r>
    <x v="28"/>
    <n v="2012"/>
    <n v="5"/>
    <x v="2"/>
    <n v="88.7"/>
    <n v="107.49"/>
    <n v="82.5"/>
  </r>
  <r>
    <x v="29"/>
    <n v="2012"/>
    <n v="6"/>
    <x v="2"/>
    <n v="100.38"/>
    <n v="123.89"/>
    <n v="81"/>
  </r>
  <r>
    <x v="30"/>
    <n v="2012"/>
    <n v="7"/>
    <x v="2"/>
    <n v="106.48"/>
    <n v="121.64"/>
    <n v="87.5"/>
  </r>
  <r>
    <x v="31"/>
    <n v="2012"/>
    <n v="8"/>
    <x v="2"/>
    <n v="111.47"/>
    <n v="132.55000000000001"/>
    <n v="84.1"/>
  </r>
  <r>
    <x v="32"/>
    <n v="2012"/>
    <n v="9"/>
    <x v="2"/>
    <n v="110.17"/>
    <n v="129.66999999999999"/>
    <n v="85"/>
  </r>
  <r>
    <x v="33"/>
    <n v="2012"/>
    <n v="10"/>
    <x v="2"/>
    <n v="102.19"/>
    <n v="131.19"/>
    <n v="77.900000000000006"/>
  </r>
  <r>
    <x v="34"/>
    <n v="2012"/>
    <n v="11"/>
    <x v="2"/>
    <n v="95.59"/>
    <n v="114.31"/>
    <n v="83.6"/>
  </r>
  <r>
    <x v="35"/>
    <n v="2012"/>
    <n v="12"/>
    <x v="2"/>
    <n v="86.85"/>
    <n v="106.38"/>
    <n v="81.599999999999994"/>
  </r>
  <r>
    <x v="36"/>
    <n v="2013"/>
    <n v="1"/>
    <x v="2"/>
    <n v="82.84"/>
    <n v="97.45"/>
    <n v="85"/>
  </r>
  <r>
    <x v="37"/>
    <n v="2013"/>
    <n v="2"/>
    <x v="2"/>
    <n v="84.96"/>
    <n v="101.99"/>
    <n v="83.3"/>
  </r>
  <r>
    <x v="38"/>
    <n v="2013"/>
    <n v="3"/>
    <x v="2"/>
    <n v="87.11"/>
    <n v="106.33"/>
    <n v="81.900000000000006"/>
  </r>
  <r>
    <x v="39"/>
    <n v="2013"/>
    <n v="4"/>
    <x v="2"/>
    <n v="91.93"/>
    <n v="115.45"/>
    <n v="79.599999999999994"/>
  </r>
  <r>
    <x v="40"/>
    <n v="2013"/>
    <n v="5"/>
    <x v="2"/>
    <n v="93.03"/>
    <n v="113.03"/>
    <n v="82.3"/>
  </r>
  <r>
    <x v="41"/>
    <n v="2013"/>
    <n v="6"/>
    <x v="2"/>
    <n v="108.41"/>
    <n v="128.41"/>
    <n v="84.4"/>
  </r>
  <r>
    <x v="42"/>
    <n v="2013"/>
    <n v="7"/>
    <x v="2"/>
    <n v="118.92"/>
    <n v="139.66999999999999"/>
    <n v="85.1"/>
  </r>
  <r>
    <x v="43"/>
    <n v="2013"/>
    <n v="8"/>
    <x v="2"/>
    <n v="112.65"/>
    <n v="138.57"/>
    <n v="81.3"/>
  </r>
  <r>
    <x v="44"/>
    <n v="2013"/>
    <n v="9"/>
    <x v="2"/>
    <n v="116.31"/>
    <n v="133.59"/>
    <n v="87.1"/>
  </r>
  <r>
    <x v="45"/>
    <n v="2013"/>
    <n v="10"/>
    <x v="2"/>
    <n v="114.63"/>
    <n v="136.08000000000001"/>
    <n v="84.2"/>
  </r>
  <r>
    <x v="46"/>
    <n v="2013"/>
    <n v="11"/>
    <x v="2"/>
    <n v="101.35"/>
    <n v="126.32"/>
    <n v="80.2"/>
  </r>
  <r>
    <x v="47"/>
    <n v="2013"/>
    <n v="12"/>
    <x v="2"/>
    <n v="97.62"/>
    <n v="122.33"/>
    <n v="79.8"/>
  </r>
  <r>
    <x v="48"/>
    <n v="2014"/>
    <n v="1"/>
    <x v="2"/>
    <n v="89.5"/>
    <n v="109.45"/>
    <n v="81.8"/>
  </r>
  <r>
    <x v="49"/>
    <n v="2014"/>
    <n v="2"/>
    <x v="2"/>
    <n v="92.85"/>
    <n v="114.21"/>
    <n v="81.3"/>
  </r>
  <r>
    <x v="50"/>
    <n v="2014"/>
    <n v="3"/>
    <x v="2"/>
    <n v="84.64"/>
    <n v="101.97"/>
    <n v="83"/>
  </r>
  <r>
    <x v="51"/>
    <n v="2014"/>
    <n v="4"/>
    <x v="2"/>
    <n v="95.29"/>
    <n v="116.09"/>
    <n v="82.1"/>
  </r>
  <r>
    <x v="52"/>
    <n v="2014"/>
    <n v="5"/>
    <x v="2"/>
    <n v="105.46"/>
    <n v="129.47"/>
    <n v="81.5"/>
  </r>
  <r>
    <x v="53"/>
    <n v="2014"/>
    <n v="6"/>
    <x v="2"/>
    <n v="116.98"/>
    <n v="148.19999999999999"/>
    <n v="78.900000000000006"/>
  </r>
  <r>
    <x v="54"/>
    <n v="2014"/>
    <n v="7"/>
    <x v="2"/>
    <n v="118.82"/>
    <n v="142.52000000000001"/>
    <n v="83.4"/>
  </r>
  <r>
    <x v="55"/>
    <n v="2014"/>
    <n v="8"/>
    <x v="2"/>
    <n v="121.18"/>
    <n v="153.82"/>
    <n v="78.8"/>
  </r>
  <r>
    <x v="56"/>
    <n v="2014"/>
    <n v="9"/>
    <x v="2"/>
    <n v="124.35"/>
    <n v="147.6"/>
    <n v="84.2"/>
  </r>
  <r>
    <x v="57"/>
    <n v="2014"/>
    <n v="10"/>
    <x v="2"/>
    <n v="116.37"/>
    <n v="149.05000000000001"/>
    <n v="78.099999999999994"/>
  </r>
  <r>
    <x v="58"/>
    <n v="2014"/>
    <n v="11"/>
    <x v="2"/>
    <n v="111.27"/>
    <n v="141.41"/>
    <n v="78.7"/>
  </r>
  <r>
    <x v="59"/>
    <n v="2014"/>
    <n v="12"/>
    <x v="2"/>
    <n v="102.2"/>
    <n v="127.39"/>
    <n v="80.2"/>
  </r>
  <r>
    <x v="60"/>
    <n v="2015"/>
    <n v="1"/>
    <x v="2"/>
    <n v="92.44"/>
    <n v="113.96"/>
    <n v="81.099999999999994"/>
  </r>
  <r>
    <x v="61"/>
    <n v="2015"/>
    <n v="2"/>
    <x v="2"/>
    <n v="93.73"/>
    <n v="116.13"/>
    <n v="80.7"/>
  </r>
  <r>
    <x v="62"/>
    <n v="2015"/>
    <n v="3"/>
    <x v="2"/>
    <n v="98.97"/>
    <n v="122.02"/>
    <n v="81.099999999999994"/>
  </r>
  <r>
    <x v="63"/>
    <n v="2015"/>
    <n v="4"/>
    <x v="2"/>
    <n v="107.29"/>
    <n v="129.94999999999999"/>
    <n v="82.6"/>
  </r>
  <r>
    <x v="64"/>
    <n v="2015"/>
    <n v="5"/>
    <x v="2"/>
    <n v="111.15"/>
    <n v="138.47"/>
    <n v="80.3"/>
  </r>
  <r>
    <x v="65"/>
    <n v="2015"/>
    <n v="6"/>
    <x v="2"/>
    <n v="117.02"/>
    <n v="141.71"/>
    <n v="82.6"/>
  </r>
  <r>
    <x v="66"/>
    <n v="2015"/>
    <n v="7"/>
    <x v="2"/>
    <n v="128.84"/>
    <n v="166.78"/>
    <n v="77.3"/>
  </r>
  <r>
    <x v="67"/>
    <n v="2015"/>
    <n v="8"/>
    <x v="2"/>
    <n v="131.41"/>
    <n v="163.86"/>
    <n v="80.2"/>
  </r>
  <r>
    <x v="68"/>
    <n v="2015"/>
    <n v="9"/>
    <x v="2"/>
    <n v="138.6"/>
    <n v="176.35"/>
    <n v="78.599999999999994"/>
  </r>
  <r>
    <x v="69"/>
    <n v="2015"/>
    <n v="10"/>
    <x v="2"/>
    <n v="121.35"/>
    <n v="144.09"/>
    <n v="84.2"/>
  </r>
  <r>
    <x v="70"/>
    <n v="2015"/>
    <n v="11"/>
    <x v="2"/>
    <n v="123.68"/>
    <n v="153.62"/>
    <n v="80.5"/>
  </r>
  <r>
    <x v="71"/>
    <n v="2015"/>
    <n v="12"/>
    <x v="2"/>
    <n v="108.57"/>
    <n v="130.44999999999999"/>
    <n v="83.2"/>
  </r>
  <r>
    <x v="72"/>
    <n v="2016"/>
    <n v="1"/>
    <x v="2"/>
    <n v="97.78"/>
    <n v="124.91"/>
    <n v="78.3"/>
  </r>
  <r>
    <x v="73"/>
    <n v="2016"/>
    <n v="2"/>
    <x v="2"/>
    <n v="102.3"/>
    <n v="120.22"/>
    <n v="85.1"/>
  </r>
  <r>
    <x v="74"/>
    <n v="2016"/>
    <n v="3"/>
    <x v="2"/>
    <n v="104.99"/>
    <n v="127.72"/>
    <n v="82.2"/>
  </r>
  <r>
    <x v="75"/>
    <n v="2016"/>
    <n v="4"/>
    <x v="2"/>
    <n v="117.83"/>
    <n v="136.66999999999999"/>
    <n v="86.2"/>
  </r>
  <r>
    <x v="76"/>
    <n v="2016"/>
    <n v="5"/>
    <x v="2"/>
    <n v="121.87"/>
    <n v="148.69"/>
    <n v="82"/>
  </r>
  <r>
    <x v="77"/>
    <n v="2016"/>
    <n v="6"/>
    <x v="2"/>
    <n v="141.78"/>
    <n v="179.57"/>
    <n v="79"/>
  </r>
  <r>
    <x v="78"/>
    <n v="2016"/>
    <n v="7"/>
    <x v="2"/>
    <n v="146.53"/>
    <n v="183.25"/>
    <n v="80"/>
  </r>
  <r>
    <x v="79"/>
    <n v="2016"/>
    <n v="8"/>
    <x v="2"/>
    <n v="146.07"/>
    <n v="179.19"/>
    <n v="81.5"/>
  </r>
  <r>
    <x v="80"/>
    <n v="2016"/>
    <n v="9"/>
    <x v="2"/>
    <n v="139.97999999999999"/>
    <n v="174.9"/>
    <n v="80"/>
  </r>
  <r>
    <x v="81"/>
    <n v="2016"/>
    <n v="10"/>
    <x v="2"/>
    <n v="139.15"/>
    <n v="165.68"/>
    <n v="84"/>
  </r>
  <r>
    <x v="82"/>
    <n v="2016"/>
    <n v="11"/>
    <x v="2"/>
    <n v="128.75"/>
    <n v="156.74"/>
    <n v="82.1"/>
  </r>
  <r>
    <x v="83"/>
    <n v="2016"/>
    <n v="12"/>
    <x v="2"/>
    <n v="122.45"/>
    <n v="152.94999999999999"/>
    <n v="80.099999999999994"/>
  </r>
  <r>
    <x v="84"/>
    <n v="2017"/>
    <n v="1"/>
    <x v="2"/>
    <n v="116.54"/>
    <n v="139.34"/>
    <n v="83.6"/>
  </r>
  <r>
    <x v="85"/>
    <n v="2017"/>
    <n v="2"/>
    <x v="2"/>
    <n v="121.2"/>
    <n v="149.16999999999999"/>
    <n v="81.2"/>
  </r>
  <r>
    <x v="86"/>
    <n v="2017"/>
    <n v="3"/>
    <x v="2"/>
    <n v="113.93"/>
    <n v="136.38"/>
    <n v="83.5"/>
  </r>
  <r>
    <x v="87"/>
    <n v="2017"/>
    <n v="4"/>
    <x v="2"/>
    <n v="126.68"/>
    <n v="156.53"/>
    <n v="80.900000000000006"/>
  </r>
  <r>
    <x v="88"/>
    <n v="2017"/>
    <n v="5"/>
    <x v="2"/>
    <n v="132.88"/>
    <n v="159.94"/>
    <n v="83.1"/>
  </r>
  <r>
    <x v="89"/>
    <n v="2017"/>
    <n v="6"/>
    <x v="2"/>
    <n v="141.96"/>
    <n v="174.87"/>
    <n v="81.2"/>
  </r>
  <r>
    <x v="90"/>
    <n v="2017"/>
    <n v="7"/>
    <x v="2"/>
    <n v="154.36000000000001"/>
    <n v="183.78"/>
    <n v="84"/>
  </r>
  <r>
    <x v="91"/>
    <n v="2017"/>
    <n v="8"/>
    <x v="2"/>
    <n v="154.86000000000001"/>
    <n v="197.74"/>
    <n v="78.3"/>
  </r>
  <r>
    <x v="92"/>
    <n v="2017"/>
    <n v="9"/>
    <x v="2"/>
    <n v="147.21"/>
    <n v="185.22"/>
    <n v="79.5"/>
  </r>
  <r>
    <x v="93"/>
    <n v="2017"/>
    <n v="10"/>
    <x v="2"/>
    <n v="143.52000000000001"/>
    <n v="175.69"/>
    <n v="81.7"/>
  </r>
  <r>
    <x v="94"/>
    <n v="2017"/>
    <n v="11"/>
    <x v="2"/>
    <n v="134.85"/>
    <n v="167.32"/>
    <n v="80.599999999999994"/>
  </r>
  <r>
    <x v="95"/>
    <n v="2017"/>
    <n v="12"/>
    <x v="2"/>
    <n v="127.09"/>
    <n v="156.66999999999999"/>
    <n v="81.099999999999994"/>
  </r>
  <r>
    <x v="96"/>
    <n v="2018"/>
    <n v="1"/>
    <x v="2"/>
    <n v="128.1"/>
    <n v="153.74"/>
    <n v="83.3"/>
  </r>
  <r>
    <x v="97"/>
    <n v="2018"/>
    <n v="2"/>
    <x v="2"/>
    <n v="121.08"/>
    <n v="149.33000000000001"/>
    <n v="81.099999999999994"/>
  </r>
  <r>
    <x v="98"/>
    <n v="2018"/>
    <n v="3"/>
    <x v="2"/>
    <n v="123.03"/>
    <n v="148.85"/>
    <n v="82.7"/>
  </r>
  <r>
    <x v="99"/>
    <n v="2018"/>
    <n v="4"/>
    <x v="2"/>
    <n v="135.66999999999999"/>
    <n v="169.2"/>
    <n v="80.2"/>
  </r>
  <r>
    <x v="100"/>
    <n v="2018"/>
    <n v="5"/>
    <x v="2"/>
    <n v="145.16"/>
    <n v="186.25"/>
    <n v="77.900000000000006"/>
  </r>
  <r>
    <x v="101"/>
    <n v="2018"/>
    <n v="6"/>
    <x v="2"/>
    <n v="157.81"/>
    <n v="188.94"/>
    <n v="83.5"/>
  </r>
  <r>
    <x v="102"/>
    <n v="2018"/>
    <n v="7"/>
    <x v="2"/>
    <n v="164.43"/>
    <n v="192.01"/>
    <n v="85.6"/>
  </r>
  <r>
    <x v="103"/>
    <n v="2018"/>
    <n v="8"/>
    <x v="2"/>
    <n v="165.34"/>
    <n v="200.57"/>
    <n v="82.4"/>
  </r>
  <r>
    <x v="104"/>
    <n v="2018"/>
    <n v="9"/>
    <x v="2"/>
    <n v="167.61"/>
    <n v="204.9"/>
    <n v="81.8"/>
  </r>
  <r>
    <x v="105"/>
    <n v="2018"/>
    <n v="10"/>
    <x v="2"/>
    <n v="160.03"/>
    <n v="194.65"/>
    <n v="82.2"/>
  </r>
  <r>
    <x v="106"/>
    <n v="2018"/>
    <n v="11"/>
    <x v="2"/>
    <n v="154.12"/>
    <n v="181.84"/>
    <n v="84.8"/>
  </r>
  <r>
    <x v="107"/>
    <n v="2018"/>
    <n v="12"/>
    <x v="2"/>
    <n v="139.78"/>
    <n v="167.14"/>
    <n v="83.6"/>
  </r>
  <r>
    <x v="108"/>
    <n v="2019"/>
    <n v="1"/>
    <x v="2"/>
    <n v="129.5"/>
    <n v="155.03"/>
    <n v="83.5"/>
  </r>
  <r>
    <x v="109"/>
    <n v="2019"/>
    <n v="2"/>
    <x v="2"/>
    <n v="119.91"/>
    <n v="142.44"/>
    <n v="84.2"/>
  </r>
  <r>
    <x v="110"/>
    <n v="2019"/>
    <n v="3"/>
    <x v="2"/>
    <n v="127.07"/>
    <n v="155.41999999999999"/>
    <n v="81.8"/>
  </r>
  <r>
    <x v="111"/>
    <n v="2019"/>
    <n v="4"/>
    <x v="2"/>
    <n v="111.73"/>
    <n v="138.1"/>
    <n v="80.900000000000006"/>
  </r>
  <r>
    <x v="112"/>
    <n v="2019"/>
    <n v="5"/>
    <x v="2"/>
    <n v="125.9"/>
    <n v="151.49"/>
    <n v="83.1"/>
  </r>
  <r>
    <x v="113"/>
    <n v="2019"/>
    <n v="6"/>
    <x v="2"/>
    <n v="123.11"/>
    <n v="146.53"/>
    <n v="84"/>
  </r>
  <r>
    <x v="114"/>
    <n v="2019"/>
    <n v="7"/>
    <x v="2"/>
    <n v="121.52"/>
    <n v="143.91999999999999"/>
    <n v="84.4"/>
  </r>
  <r>
    <x v="115"/>
    <n v="2019"/>
    <n v="8"/>
    <x v="2"/>
    <n v="116.25"/>
    <n v="136.69"/>
    <n v="85"/>
  </r>
  <r>
    <x v="116"/>
    <n v="2019"/>
    <n v="9"/>
    <x v="2"/>
    <n v="103.55"/>
    <n v="123.56"/>
    <n v="83.8"/>
  </r>
  <r>
    <x v="117"/>
    <n v="2019"/>
    <n v="10"/>
    <x v="2"/>
    <n v="88.41"/>
    <n v="109.42"/>
    <n v="80.8"/>
  </r>
  <r>
    <x v="118"/>
    <n v="2019"/>
    <n v="11"/>
    <x v="2"/>
    <n v="79.290000000000006"/>
    <n v="96.19"/>
    <n v="82.4"/>
  </r>
  <r>
    <x v="119"/>
    <n v="2019"/>
    <n v="12"/>
    <x v="2"/>
    <n v="64.12"/>
    <n v="77.959999999999994"/>
    <n v="82.2"/>
  </r>
  <r>
    <x v="120"/>
    <n v="2020"/>
    <n v="1"/>
    <x v="2"/>
    <n v="51.3"/>
    <n v="62.54"/>
    <n v="82"/>
  </r>
  <r>
    <x v="121"/>
    <n v="2020"/>
    <n v="2"/>
    <x v="2"/>
    <n v="53.61"/>
    <n v="64.510000000000005"/>
    <n v="83.1"/>
  </r>
  <r>
    <x v="122"/>
    <n v="2020"/>
    <n v="3"/>
    <x v="2"/>
    <n v="7.54"/>
    <n v="13.71"/>
    <n v="55"/>
  </r>
  <r>
    <x v="123"/>
    <n v="2020"/>
    <n v="4"/>
    <x v="2"/>
    <n v="8.9700000000000006"/>
    <n v="16.3"/>
    <n v="55"/>
  </r>
  <r>
    <x v="124"/>
    <n v="2020"/>
    <n v="5"/>
    <x v="2"/>
    <n v="8.76"/>
    <n v="15.93"/>
    <n v="55"/>
  </r>
  <r>
    <x v="125"/>
    <n v="2020"/>
    <n v="6"/>
    <x v="2"/>
    <n v="10.220000000000001"/>
    <n v="18.579999999999998"/>
    <n v="55"/>
  </r>
  <r>
    <x v="126"/>
    <n v="2020"/>
    <n v="7"/>
    <x v="2"/>
    <n v="69.84"/>
    <n v="126.98"/>
    <n v="55"/>
  </r>
  <r>
    <x v="127"/>
    <n v="2020"/>
    <n v="8"/>
    <x v="2"/>
    <n v="24.92"/>
    <n v="45.3"/>
    <n v="55"/>
  </r>
  <r>
    <x v="128"/>
    <n v="2020"/>
    <n v="9"/>
    <x v="2"/>
    <n v="25.46"/>
    <n v="46.29"/>
    <n v="55"/>
  </r>
  <r>
    <x v="129"/>
    <n v="2020"/>
    <n v="10"/>
    <x v="2"/>
    <n v="24.09"/>
    <n v="43.8"/>
    <n v="55"/>
  </r>
  <r>
    <x v="130"/>
    <n v="2020"/>
    <n v="11"/>
    <x v="2"/>
    <n v="23.17"/>
    <n v="42.13"/>
    <n v="55"/>
  </r>
  <r>
    <x v="131"/>
    <n v="2020"/>
    <n v="12"/>
    <x v="2"/>
    <n v="19.920000000000002"/>
    <n v="36.21"/>
    <n v="55"/>
  </r>
  <r>
    <x v="132"/>
    <n v="2021"/>
    <n v="1"/>
    <x v="2"/>
    <n v="57.64"/>
    <n v="69.48"/>
    <n v="83"/>
  </r>
  <r>
    <x v="133"/>
    <n v="2021"/>
    <n v="2"/>
    <x v="2"/>
    <n v="25.33"/>
    <n v="31.13"/>
    <n v="81.400000000000006"/>
  </r>
  <r>
    <x v="134"/>
    <n v="2021"/>
    <n v="3"/>
    <x v="2"/>
    <n v="26.39"/>
    <n v="32.22"/>
    <n v="81.900000000000006"/>
  </r>
  <r>
    <x v="135"/>
    <n v="2021"/>
    <n v="4"/>
    <x v="2"/>
    <n v="27.18"/>
    <n v="33.4"/>
    <n v="81.400000000000006"/>
  </r>
  <r>
    <x v="136"/>
    <n v="2021"/>
    <n v="5"/>
    <x v="2"/>
    <n v="31.87"/>
    <n v="40.590000000000003"/>
    <n v="78.5"/>
  </r>
  <r>
    <x v="137"/>
    <n v="2021"/>
    <n v="6"/>
    <x v="2"/>
    <n v="32.94"/>
    <n v="41.89"/>
    <n v="78.599999999999994"/>
  </r>
  <r>
    <x v="138"/>
    <n v="2021"/>
    <n v="7"/>
    <x v="2"/>
    <n v="76.02"/>
    <n v="93.7"/>
    <n v="81.099999999999994"/>
  </r>
  <r>
    <x v="139"/>
    <n v="2021"/>
    <n v="8"/>
    <x v="2"/>
    <n v="47.69"/>
    <n v="57.61"/>
    <n v="82.8"/>
  </r>
  <r>
    <x v="140"/>
    <n v="2021"/>
    <n v="9"/>
    <x v="2"/>
    <n v="49.62"/>
    <n v="63.77"/>
    <n v="77.8"/>
  </r>
  <r>
    <x v="141"/>
    <n v="2021"/>
    <n v="10"/>
    <x v="2"/>
    <n v="49.26"/>
    <n v="58.05"/>
    <n v="84.9"/>
  </r>
  <r>
    <x v="142"/>
    <n v="2021"/>
    <n v="11"/>
    <x v="2"/>
    <n v="47.01"/>
    <n v="56.84"/>
    <n v="82.7"/>
  </r>
  <r>
    <x v="143"/>
    <n v="2021"/>
    <n v="12"/>
    <x v="2"/>
    <n v="41.89"/>
    <n v="49.49"/>
    <n v="84.7"/>
  </r>
  <r>
    <x v="144"/>
    <n v="2022"/>
    <n v="1"/>
    <x v="2"/>
    <n v="64.06"/>
    <n v="76.02"/>
    <n v="84.3"/>
  </r>
  <r>
    <x v="145"/>
    <n v="2022"/>
    <n v="2"/>
    <x v="2"/>
    <n v="60.43"/>
    <n v="73.33"/>
    <n v="82.4"/>
  </r>
  <r>
    <x v="146"/>
    <n v="2022"/>
    <n v="3"/>
    <x v="2"/>
    <n v="67.23"/>
    <n v="85.77"/>
    <n v="78.400000000000006"/>
  </r>
  <r>
    <x v="147"/>
    <n v="2022"/>
    <n v="4"/>
    <x v="2"/>
    <n v="74.459999999999994"/>
    <n v="86.04"/>
    <n v="86.5"/>
  </r>
  <r>
    <x v="148"/>
    <n v="2022"/>
    <n v="5"/>
    <x v="2"/>
    <n v="84.1"/>
    <n v="99"/>
    <n v="84.9"/>
  </r>
  <r>
    <x v="149"/>
    <n v="2022"/>
    <n v="6"/>
    <x v="2"/>
    <n v="92.55"/>
    <n v="113.07"/>
    <n v="81.900000000000006"/>
  </r>
  <r>
    <x v="150"/>
    <n v="2022"/>
    <n v="7"/>
    <x v="2"/>
    <n v="101.43"/>
    <n v="126.21"/>
    <n v="80.400000000000006"/>
  </r>
  <r>
    <x v="151"/>
    <n v="2022"/>
    <n v="8"/>
    <x v="2"/>
    <n v="102.65"/>
    <n v="121.43"/>
    <n v="84.5"/>
  </r>
  <r>
    <x v="152"/>
    <n v="2022"/>
    <n v="9"/>
    <x v="2"/>
    <n v="111.85"/>
    <n v="139.78"/>
    <n v="80"/>
  </r>
  <r>
    <x v="153"/>
    <n v="2022"/>
    <n v="10"/>
    <x v="2"/>
    <n v="108.59"/>
    <n v="132.71"/>
    <n v="81.8"/>
  </r>
  <r>
    <x v="154"/>
    <n v="2022"/>
    <n v="11"/>
    <x v="2"/>
    <n v="102.29"/>
    <n v="123.36"/>
    <n v="82.9"/>
  </r>
  <r>
    <x v="155"/>
    <n v="2022"/>
    <n v="12"/>
    <x v="2"/>
    <n v="99.47"/>
    <n v="121.06"/>
    <n v="82.2"/>
  </r>
  <r>
    <x v="156"/>
    <n v="2023"/>
    <n v="1"/>
    <x v="2"/>
    <n v="97.58"/>
    <n v="118.11"/>
    <n v="82.6"/>
  </r>
  <r>
    <x v="157"/>
    <n v="2023"/>
    <n v="2"/>
    <x v="2"/>
    <n v="95.81"/>
    <n v="119.26"/>
    <n v="80.3"/>
  </r>
  <r>
    <x v="158"/>
    <n v="2023"/>
    <n v="3"/>
    <x v="2"/>
    <n v="105.6"/>
    <n v="127.32"/>
    <n v="82.9"/>
  </r>
  <r>
    <x v="159"/>
    <n v="2023"/>
    <n v="4"/>
    <x v="2"/>
    <n v="110.45"/>
    <n v="140.19"/>
    <n v="78.8"/>
  </r>
  <r>
    <x v="160"/>
    <n v="2023"/>
    <n v="5"/>
    <x v="2"/>
    <n v="117.07"/>
    <n v="138.59"/>
    <n v="84.5"/>
  </r>
  <r>
    <x v="161"/>
    <n v="2023"/>
    <n v="6"/>
    <x v="2"/>
    <n v="133.5"/>
    <n v="170.78"/>
    <n v="78.2"/>
  </r>
  <r>
    <x v="162"/>
    <n v="2023"/>
    <n v="7"/>
    <x v="2"/>
    <n v="147.16"/>
    <n v="181.88"/>
    <n v="80.900000000000006"/>
  </r>
  <r>
    <x v="163"/>
    <n v="2023"/>
    <n v="8"/>
    <x v="2"/>
    <n v="155.22"/>
    <n v="189.69"/>
    <n v="81.8"/>
  </r>
  <r>
    <x v="164"/>
    <n v="2023"/>
    <n v="9"/>
    <x v="2"/>
    <n v="150.63"/>
    <n v="178.57"/>
    <n v="84.4"/>
  </r>
  <r>
    <x v="165"/>
    <n v="2023"/>
    <n v="10"/>
    <x v="2"/>
    <n v="141.91999999999999"/>
    <n v="177.37"/>
    <n v="80"/>
  </r>
  <r>
    <x v="166"/>
    <n v="2023"/>
    <n v="11"/>
    <x v="2"/>
    <n v="137.93"/>
    <n v="164.89"/>
    <n v="83.7"/>
  </r>
  <r>
    <x v="167"/>
    <n v="2023"/>
    <n v="12"/>
    <x v="2"/>
    <n v="126.1"/>
    <n v="160.30000000000001"/>
    <n v="78.7"/>
  </r>
  <r>
    <x v="168"/>
    <n v="2024"/>
    <n v="1"/>
    <x v="2"/>
    <n v="129.32"/>
    <n v="160.06"/>
    <n v="80.8"/>
  </r>
  <r>
    <x v="169"/>
    <n v="2024"/>
    <n v="2"/>
    <x v="2"/>
    <n v="122.51"/>
    <n v="156.49"/>
    <n v="78.3"/>
  </r>
  <r>
    <x v="170"/>
    <n v="2024"/>
    <n v="3"/>
    <x v="2"/>
    <n v="125.04"/>
    <n v="152.52000000000001"/>
    <n v="82"/>
  </r>
  <r>
    <x v="171"/>
    <n v="2024"/>
    <n v="4"/>
    <x v="2"/>
    <n v="140.30000000000001"/>
    <n v="174.38"/>
    <n v="80.5"/>
  </r>
  <r>
    <x v="172"/>
    <n v="2024"/>
    <n v="5"/>
    <x v="2"/>
    <n v="155.9"/>
    <n v="193.34"/>
    <n v="80.599999999999994"/>
  </r>
  <r>
    <x v="173"/>
    <n v="2024"/>
    <n v="6"/>
    <x v="2"/>
    <n v="157.1"/>
    <n v="184.66"/>
    <n v="85.1"/>
  </r>
  <r>
    <x v="174"/>
    <n v="2024"/>
    <n v="7"/>
    <x v="2"/>
    <n v="170.56"/>
    <n v="210.84"/>
    <n v="80.900000000000006"/>
  </r>
  <r>
    <x v="175"/>
    <n v="2024"/>
    <n v="8"/>
    <x v="2"/>
    <n v="172.65"/>
    <n v="203.83"/>
    <n v="84.7"/>
  </r>
  <r>
    <x v="176"/>
    <n v="2024"/>
    <n v="9"/>
    <x v="2"/>
    <n v="179.07"/>
    <n v="222.82"/>
    <n v="80.400000000000006"/>
  </r>
  <r>
    <x v="177"/>
    <n v="2024"/>
    <n v="10"/>
    <x v="2"/>
    <n v="163.72999999999999"/>
    <n v="199.23"/>
    <n v="82.2"/>
  </r>
  <r>
    <x v="178"/>
    <n v="2024"/>
    <n v="11"/>
    <x v="2"/>
    <n v="148.86000000000001"/>
    <n v="181.79"/>
    <n v="81.900000000000006"/>
  </r>
  <r>
    <x v="179"/>
    <n v="2024"/>
    <n v="12"/>
    <x v="2"/>
    <n v="142.63"/>
    <n v="169.23"/>
    <n v="84.3"/>
  </r>
  <r>
    <x v="180"/>
    <n v="2025"/>
    <n v="1"/>
    <x v="2"/>
    <n v="139.84"/>
    <n v="171.92"/>
    <n v="81.3"/>
  </r>
  <r>
    <x v="181"/>
    <n v="2025"/>
    <n v="2"/>
    <x v="2"/>
    <n v="131.61000000000001"/>
    <n v="157.94"/>
    <n v="83.3"/>
  </r>
  <r>
    <x v="182"/>
    <n v="2025"/>
    <n v="3"/>
    <x v="2"/>
    <n v="133.94"/>
    <n v="161.03"/>
    <n v="83.2"/>
  </r>
  <r>
    <x v="183"/>
    <n v="2025"/>
    <n v="4"/>
    <x v="2"/>
    <n v="145.30000000000001"/>
    <n v="181.49"/>
    <n v="80.099999999999994"/>
  </r>
  <r>
    <x v="184"/>
    <n v="2025"/>
    <n v="5"/>
    <x v="2"/>
    <n v="153.85"/>
    <n v="181.23"/>
    <n v="84.9"/>
  </r>
  <r>
    <x v="185"/>
    <n v="2025"/>
    <n v="6"/>
    <x v="2"/>
    <n v="170.3"/>
    <n v="199.7"/>
    <n v="85.3"/>
  </r>
  <r>
    <x v="186"/>
    <n v="2025"/>
    <n v="7"/>
    <x v="2"/>
    <n v="178.02"/>
    <n v="215.57"/>
    <n v="82.6"/>
  </r>
  <r>
    <x v="187"/>
    <n v="2025"/>
    <n v="8"/>
    <x v="2"/>
    <n v="198.72"/>
    <n v="248.76"/>
    <n v="79.900000000000006"/>
  </r>
  <r>
    <x v="188"/>
    <n v="2025"/>
    <n v="9"/>
    <x v="2"/>
    <n v="172.56"/>
    <n v="204.03"/>
    <n v="84.6"/>
  </r>
  <r>
    <x v="189"/>
    <n v="2025"/>
    <n v="10"/>
    <x v="2"/>
    <n v="170.41"/>
    <n v="207.92"/>
    <n v="82"/>
  </r>
  <r>
    <x v="190"/>
    <n v="2025"/>
    <n v="11"/>
    <x v="2"/>
    <n v="160.49"/>
    <n v="194.44"/>
    <n v="82.5"/>
  </r>
  <r>
    <x v="191"/>
    <n v="2025"/>
    <n v="12"/>
    <x v="2"/>
    <n v="147.59"/>
    <n v="180.78"/>
    <n v="81.599999999999994"/>
  </r>
  <r>
    <x v="192"/>
    <n v="2026"/>
    <n v="1"/>
    <x v="2"/>
    <n v="145.52000000000001"/>
    <n v="181.93"/>
    <n v="80"/>
  </r>
  <r>
    <x v="193"/>
    <n v="2026"/>
    <n v="2"/>
    <x v="2"/>
    <n v="137.34"/>
    <n v="168.91"/>
    <n v="81.3"/>
  </r>
  <r>
    <x v="194"/>
    <n v="2026"/>
    <n v="3"/>
    <x v="2"/>
    <n v="137.54"/>
    <n v="169.48"/>
    <n v="81.2"/>
  </r>
  <r>
    <x v="195"/>
    <n v="2026"/>
    <n v="4"/>
    <x v="2"/>
    <n v="153.16999999999999"/>
    <n v="188.63"/>
    <n v="81.2"/>
  </r>
  <r>
    <x v="0"/>
    <n v="2010"/>
    <n v="1"/>
    <x v="3"/>
    <n v="13.81"/>
    <n v="16.850000000000001"/>
    <n v="82"/>
  </r>
  <r>
    <x v="1"/>
    <n v="2010"/>
    <n v="2"/>
    <x v="3"/>
    <n v="13.47"/>
    <n v="16.16"/>
    <n v="83.4"/>
  </r>
  <r>
    <x v="2"/>
    <n v="2010"/>
    <n v="3"/>
    <x v="3"/>
    <n v="14.84"/>
    <n v="18.3"/>
    <n v="81.099999999999994"/>
  </r>
  <r>
    <x v="3"/>
    <n v="2010"/>
    <n v="4"/>
    <x v="3"/>
    <n v="15.49"/>
    <n v="19"/>
    <n v="81.5"/>
  </r>
  <r>
    <x v="4"/>
    <n v="2010"/>
    <n v="5"/>
    <x v="3"/>
    <n v="16.850000000000001"/>
    <n v="19.79"/>
    <n v="85.1"/>
  </r>
  <r>
    <x v="5"/>
    <n v="2010"/>
    <n v="6"/>
    <x v="3"/>
    <n v="18.37"/>
    <n v="23.42"/>
    <n v="78.5"/>
  </r>
  <r>
    <x v="6"/>
    <n v="2010"/>
    <n v="7"/>
    <x v="3"/>
    <n v="19.47"/>
    <n v="23.05"/>
    <n v="84.5"/>
  </r>
  <r>
    <x v="7"/>
    <n v="2010"/>
    <n v="8"/>
    <x v="3"/>
    <n v="19.61"/>
    <n v="23.35"/>
    <n v="84"/>
  </r>
  <r>
    <x v="8"/>
    <n v="2010"/>
    <n v="9"/>
    <x v="3"/>
    <n v="19.18"/>
    <n v="24.27"/>
    <n v="79"/>
  </r>
  <r>
    <x v="9"/>
    <n v="2010"/>
    <n v="10"/>
    <x v="3"/>
    <n v="18.89"/>
    <n v="24.07"/>
    <n v="78.5"/>
  </r>
  <r>
    <x v="10"/>
    <n v="2010"/>
    <n v="11"/>
    <x v="3"/>
    <n v="17.54"/>
    <n v="20.74"/>
    <n v="84.6"/>
  </r>
  <r>
    <x v="11"/>
    <n v="2010"/>
    <n v="12"/>
    <x v="3"/>
    <n v="15.58"/>
    <n v="19.61"/>
    <n v="79.400000000000006"/>
  </r>
  <r>
    <x v="12"/>
    <n v="2011"/>
    <n v="1"/>
    <x v="3"/>
    <n v="15.18"/>
    <n v="18.55"/>
    <n v="81.900000000000006"/>
  </r>
  <r>
    <x v="13"/>
    <n v="2011"/>
    <n v="2"/>
    <x v="3"/>
    <n v="15.27"/>
    <n v="18.010000000000002"/>
    <n v="84.8"/>
  </r>
  <r>
    <x v="14"/>
    <n v="2011"/>
    <n v="3"/>
    <x v="3"/>
    <n v="16.420000000000002"/>
    <n v="19.78"/>
    <n v="83"/>
  </r>
  <r>
    <x v="15"/>
    <n v="2011"/>
    <n v="4"/>
    <x v="3"/>
    <n v="17.190000000000001"/>
    <n v="20.76"/>
    <n v="82.8"/>
  </r>
  <r>
    <x v="16"/>
    <n v="2011"/>
    <n v="5"/>
    <x v="3"/>
    <n v="18.190000000000001"/>
    <n v="21.73"/>
    <n v="83.7"/>
  </r>
  <r>
    <x v="17"/>
    <n v="2011"/>
    <n v="6"/>
    <x v="3"/>
    <n v="19.579999999999998"/>
    <n v="23.4"/>
    <n v="83.7"/>
  </r>
  <r>
    <x v="18"/>
    <n v="2011"/>
    <n v="7"/>
    <x v="3"/>
    <n v="22.25"/>
    <n v="26.99"/>
    <n v="82.4"/>
  </r>
  <r>
    <x v="19"/>
    <n v="2011"/>
    <n v="8"/>
    <x v="3"/>
    <n v="21.93"/>
    <n v="26.48"/>
    <n v="82.8"/>
  </r>
  <r>
    <x v="20"/>
    <n v="2011"/>
    <n v="9"/>
    <x v="3"/>
    <n v="20.05"/>
    <n v="24.27"/>
    <n v="82.6"/>
  </r>
  <r>
    <x v="21"/>
    <n v="2011"/>
    <n v="10"/>
    <x v="3"/>
    <n v="20.89"/>
    <n v="25.51"/>
    <n v="81.900000000000006"/>
  </r>
  <r>
    <x v="22"/>
    <n v="2011"/>
    <n v="11"/>
    <x v="3"/>
    <n v="20.09"/>
    <n v="24.54"/>
    <n v="81.900000000000006"/>
  </r>
  <r>
    <x v="23"/>
    <n v="2011"/>
    <n v="12"/>
    <x v="3"/>
    <n v="17.73"/>
    <n v="21.7"/>
    <n v="81.7"/>
  </r>
  <r>
    <x v="24"/>
    <n v="2012"/>
    <n v="1"/>
    <x v="3"/>
    <n v="17.440000000000001"/>
    <n v="21.21"/>
    <n v="82.2"/>
  </r>
  <r>
    <x v="25"/>
    <n v="2012"/>
    <n v="2"/>
    <x v="3"/>
    <n v="17.23"/>
    <n v="20.49"/>
    <n v="84.1"/>
  </r>
  <r>
    <x v="26"/>
    <n v="2012"/>
    <n v="3"/>
    <x v="3"/>
    <n v="17.12"/>
    <n v="20.79"/>
    <n v="82.4"/>
  </r>
  <r>
    <x v="27"/>
    <n v="2012"/>
    <n v="4"/>
    <x v="3"/>
    <n v="19.71"/>
    <n v="25.1"/>
    <n v="78.5"/>
  </r>
  <r>
    <x v="28"/>
    <n v="2012"/>
    <n v="5"/>
    <x v="3"/>
    <n v="20.78"/>
    <n v="25.71"/>
    <n v="80.8"/>
  </r>
  <r>
    <x v="29"/>
    <n v="2012"/>
    <n v="6"/>
    <x v="3"/>
    <n v="22.15"/>
    <n v="27.62"/>
    <n v="80.2"/>
  </r>
  <r>
    <x v="30"/>
    <n v="2012"/>
    <n v="7"/>
    <x v="3"/>
    <n v="23.61"/>
    <n v="27.55"/>
    <n v="85.7"/>
  </r>
  <r>
    <x v="31"/>
    <n v="2012"/>
    <n v="8"/>
    <x v="3"/>
    <n v="23.44"/>
    <n v="29.42"/>
    <n v="79.7"/>
  </r>
  <r>
    <x v="32"/>
    <n v="2012"/>
    <n v="9"/>
    <x v="3"/>
    <n v="23.18"/>
    <n v="27.13"/>
    <n v="85.5"/>
  </r>
  <r>
    <x v="33"/>
    <n v="2012"/>
    <n v="10"/>
    <x v="3"/>
    <n v="22.79"/>
    <n v="27.82"/>
    <n v="81.900000000000006"/>
  </r>
  <r>
    <x v="34"/>
    <n v="2012"/>
    <n v="11"/>
    <x v="3"/>
    <n v="21.41"/>
    <n v="26.72"/>
    <n v="80.099999999999994"/>
  </r>
  <r>
    <x v="35"/>
    <n v="2012"/>
    <n v="12"/>
    <x v="3"/>
    <n v="20.05"/>
    <n v="23.07"/>
    <n v="86.9"/>
  </r>
  <r>
    <x v="36"/>
    <n v="2013"/>
    <n v="1"/>
    <x v="3"/>
    <n v="19.96"/>
    <n v="24.86"/>
    <n v="80.3"/>
  </r>
  <r>
    <x v="37"/>
    <n v="2013"/>
    <n v="2"/>
    <x v="3"/>
    <n v="19.21"/>
    <n v="23.91"/>
    <n v="80.3"/>
  </r>
  <r>
    <x v="38"/>
    <n v="2013"/>
    <n v="3"/>
    <x v="3"/>
    <n v="18.420000000000002"/>
    <n v="21.92"/>
    <n v="84"/>
  </r>
  <r>
    <x v="39"/>
    <n v="2013"/>
    <n v="4"/>
    <x v="3"/>
    <n v="21.55"/>
    <n v="25.63"/>
    <n v="84.1"/>
  </r>
  <r>
    <x v="40"/>
    <n v="2013"/>
    <n v="5"/>
    <x v="3"/>
    <n v="22.35"/>
    <n v="27.37"/>
    <n v="81.7"/>
  </r>
  <r>
    <x v="41"/>
    <n v="2013"/>
    <n v="6"/>
    <x v="3"/>
    <n v="25.1"/>
    <n v="30.33"/>
    <n v="82.8"/>
  </r>
  <r>
    <x v="42"/>
    <n v="2013"/>
    <n v="7"/>
    <x v="3"/>
    <n v="25.68"/>
    <n v="32.61"/>
    <n v="78.8"/>
  </r>
  <r>
    <x v="43"/>
    <n v="2013"/>
    <n v="8"/>
    <x v="3"/>
    <n v="26.73"/>
    <n v="31.77"/>
    <n v="84.2"/>
  </r>
  <r>
    <x v="44"/>
    <n v="2013"/>
    <n v="9"/>
    <x v="3"/>
    <n v="25.43"/>
    <n v="30.54"/>
    <n v="83.3"/>
  </r>
  <r>
    <x v="45"/>
    <n v="2013"/>
    <n v="10"/>
    <x v="3"/>
    <n v="25.52"/>
    <n v="30.56"/>
    <n v="83.5"/>
  </r>
  <r>
    <x v="46"/>
    <n v="2013"/>
    <n v="11"/>
    <x v="3"/>
    <n v="24.29"/>
    <n v="30.14"/>
    <n v="80.599999999999994"/>
  </r>
  <r>
    <x v="47"/>
    <n v="2013"/>
    <n v="12"/>
    <x v="3"/>
    <n v="21"/>
    <n v="25.95"/>
    <n v="80.900000000000006"/>
  </r>
  <r>
    <x v="48"/>
    <n v="2014"/>
    <n v="1"/>
    <x v="3"/>
    <n v="21.45"/>
    <n v="26.51"/>
    <n v="80.900000000000006"/>
  </r>
  <r>
    <x v="49"/>
    <n v="2014"/>
    <n v="2"/>
    <x v="3"/>
    <n v="20.12"/>
    <n v="25.68"/>
    <n v="78.400000000000006"/>
  </r>
  <r>
    <x v="50"/>
    <n v="2014"/>
    <n v="3"/>
    <x v="3"/>
    <n v="22.32"/>
    <n v="26.68"/>
    <n v="83.7"/>
  </r>
  <r>
    <x v="51"/>
    <n v="2014"/>
    <n v="4"/>
    <x v="3"/>
    <n v="23.19"/>
    <n v="27.63"/>
    <n v="83.9"/>
  </r>
  <r>
    <x v="52"/>
    <n v="2014"/>
    <n v="5"/>
    <x v="3"/>
    <n v="25.1"/>
    <n v="30.79"/>
    <n v="81.5"/>
  </r>
  <r>
    <x v="53"/>
    <n v="2014"/>
    <n v="6"/>
    <x v="3"/>
    <n v="26.57"/>
    <n v="32.74"/>
    <n v="81.099999999999994"/>
  </r>
  <r>
    <x v="54"/>
    <n v="2014"/>
    <n v="7"/>
    <x v="3"/>
    <n v="30.57"/>
    <n v="36.78"/>
    <n v="83.1"/>
  </r>
  <r>
    <x v="55"/>
    <n v="2014"/>
    <n v="8"/>
    <x v="3"/>
    <n v="28.54"/>
    <n v="34.42"/>
    <n v="82.9"/>
  </r>
  <r>
    <x v="56"/>
    <n v="2014"/>
    <n v="9"/>
    <x v="3"/>
    <n v="27.77"/>
    <n v="32.67"/>
    <n v="85"/>
  </r>
  <r>
    <x v="57"/>
    <n v="2014"/>
    <n v="10"/>
    <x v="3"/>
    <n v="26.87"/>
    <n v="32.380000000000003"/>
    <n v="83"/>
  </r>
  <r>
    <x v="58"/>
    <n v="2014"/>
    <n v="11"/>
    <x v="3"/>
    <n v="26.5"/>
    <n v="32.020000000000003"/>
    <n v="82.8"/>
  </r>
  <r>
    <x v="59"/>
    <n v="2014"/>
    <n v="12"/>
    <x v="3"/>
    <n v="23.96"/>
    <n v="29.22"/>
    <n v="82"/>
  </r>
  <r>
    <x v="60"/>
    <n v="2015"/>
    <n v="1"/>
    <x v="3"/>
    <n v="22.58"/>
    <n v="27.93"/>
    <n v="80.8"/>
  </r>
  <r>
    <x v="61"/>
    <n v="2015"/>
    <n v="2"/>
    <x v="3"/>
    <n v="21.91"/>
    <n v="25.79"/>
    <n v="85"/>
  </r>
  <r>
    <x v="62"/>
    <n v="2015"/>
    <n v="3"/>
    <x v="3"/>
    <n v="22.77"/>
    <n v="28.31"/>
    <n v="80.400000000000006"/>
  </r>
  <r>
    <x v="63"/>
    <n v="2015"/>
    <n v="4"/>
    <x v="3"/>
    <n v="24.02"/>
    <n v="28.53"/>
    <n v="84.2"/>
  </r>
  <r>
    <x v="64"/>
    <n v="2015"/>
    <n v="5"/>
    <x v="3"/>
    <n v="27.04"/>
    <n v="32.53"/>
    <n v="83.1"/>
  </r>
  <r>
    <x v="65"/>
    <n v="2015"/>
    <n v="6"/>
    <x v="3"/>
    <n v="28.4"/>
    <n v="34.159999999999997"/>
    <n v="83.1"/>
  </r>
  <r>
    <x v="66"/>
    <n v="2015"/>
    <n v="7"/>
    <x v="3"/>
    <n v="29.65"/>
    <n v="36.39"/>
    <n v="81.5"/>
  </r>
  <r>
    <x v="67"/>
    <n v="2015"/>
    <n v="8"/>
    <x v="3"/>
    <n v="31.82"/>
    <n v="37.99"/>
    <n v="83.7"/>
  </r>
  <r>
    <x v="68"/>
    <n v="2015"/>
    <n v="9"/>
    <x v="3"/>
    <n v="29.62"/>
    <n v="36.89"/>
    <n v="80.3"/>
  </r>
  <r>
    <x v="69"/>
    <n v="2015"/>
    <n v="10"/>
    <x v="3"/>
    <n v="29.25"/>
    <n v="34.24"/>
    <n v="85.5"/>
  </r>
  <r>
    <x v="70"/>
    <n v="2015"/>
    <n v="11"/>
    <x v="3"/>
    <n v="25.73"/>
    <n v="31.16"/>
    <n v="82.6"/>
  </r>
  <r>
    <x v="71"/>
    <n v="2015"/>
    <n v="12"/>
    <x v="3"/>
    <n v="24.3"/>
    <n v="30.1"/>
    <n v="80.7"/>
  </r>
  <r>
    <x v="72"/>
    <n v="2016"/>
    <n v="1"/>
    <x v="3"/>
    <n v="23.67"/>
    <n v="29.16"/>
    <n v="81.2"/>
  </r>
  <r>
    <x v="73"/>
    <n v="2016"/>
    <n v="2"/>
    <x v="3"/>
    <n v="23.11"/>
    <n v="28.18"/>
    <n v="82"/>
  </r>
  <r>
    <x v="74"/>
    <n v="2016"/>
    <n v="3"/>
    <x v="3"/>
    <n v="23.76"/>
    <n v="30.05"/>
    <n v="79.099999999999994"/>
  </r>
  <r>
    <x v="75"/>
    <n v="2016"/>
    <n v="4"/>
    <x v="3"/>
    <n v="26.39"/>
    <n v="31.61"/>
    <n v="83.5"/>
  </r>
  <r>
    <x v="76"/>
    <n v="2016"/>
    <n v="5"/>
    <x v="3"/>
    <n v="28.72"/>
    <n v="36.39"/>
    <n v="78.900000000000006"/>
  </r>
  <r>
    <x v="77"/>
    <n v="2016"/>
    <n v="6"/>
    <x v="3"/>
    <n v="30.51"/>
    <n v="36.6"/>
    <n v="83.4"/>
  </r>
  <r>
    <x v="78"/>
    <n v="2016"/>
    <n v="7"/>
    <x v="3"/>
    <n v="30.95"/>
    <n v="37.729999999999997"/>
    <n v="82"/>
  </r>
  <r>
    <x v="79"/>
    <n v="2016"/>
    <n v="8"/>
    <x v="3"/>
    <n v="32.520000000000003"/>
    <n v="37.950000000000003"/>
    <n v="85.7"/>
  </r>
  <r>
    <x v="80"/>
    <n v="2016"/>
    <n v="9"/>
    <x v="3"/>
    <n v="34.119999999999997"/>
    <n v="43.37"/>
    <n v="78.7"/>
  </r>
  <r>
    <x v="81"/>
    <n v="2016"/>
    <n v="10"/>
    <x v="3"/>
    <n v="33.159999999999997"/>
    <n v="41.37"/>
    <n v="80.2"/>
  </r>
  <r>
    <x v="82"/>
    <n v="2016"/>
    <n v="11"/>
    <x v="3"/>
    <n v="29.61"/>
    <n v="35.270000000000003"/>
    <n v="83.9"/>
  </r>
  <r>
    <x v="83"/>
    <n v="2016"/>
    <n v="12"/>
    <x v="3"/>
    <n v="25.92"/>
    <n v="31.24"/>
    <n v="83"/>
  </r>
  <r>
    <x v="84"/>
    <n v="2017"/>
    <n v="1"/>
    <x v="3"/>
    <n v="25.15"/>
    <n v="30.26"/>
    <n v="83.1"/>
  </r>
  <r>
    <x v="85"/>
    <n v="2017"/>
    <n v="2"/>
    <x v="3"/>
    <n v="24.93"/>
    <n v="29.54"/>
    <n v="84.4"/>
  </r>
  <r>
    <x v="86"/>
    <n v="2017"/>
    <n v="3"/>
    <x v="3"/>
    <n v="25.51"/>
    <n v="31.24"/>
    <n v="81.7"/>
  </r>
  <r>
    <x v="87"/>
    <n v="2017"/>
    <n v="4"/>
    <x v="3"/>
    <n v="28.08"/>
    <n v="33.770000000000003"/>
    <n v="83.2"/>
  </r>
  <r>
    <x v="88"/>
    <n v="2017"/>
    <n v="5"/>
    <x v="3"/>
    <n v="30.15"/>
    <n v="37.380000000000003"/>
    <n v="80.7"/>
  </r>
  <r>
    <x v="89"/>
    <n v="2017"/>
    <n v="6"/>
    <x v="3"/>
    <n v="30.86"/>
    <n v="38.17"/>
    <n v="80.900000000000006"/>
  </r>
  <r>
    <x v="90"/>
    <n v="2017"/>
    <n v="7"/>
    <x v="3"/>
    <n v="32.99"/>
    <n v="39.479999999999997"/>
    <n v="83.6"/>
  </r>
  <r>
    <x v="91"/>
    <n v="2017"/>
    <n v="8"/>
    <x v="3"/>
    <n v="35.380000000000003"/>
    <n v="43.31"/>
    <n v="81.7"/>
  </r>
  <r>
    <x v="92"/>
    <n v="2017"/>
    <n v="9"/>
    <x v="3"/>
    <n v="35.380000000000003"/>
    <n v="41.76"/>
    <n v="84.7"/>
  </r>
  <r>
    <x v="93"/>
    <n v="2017"/>
    <n v="10"/>
    <x v="3"/>
    <n v="32.619999999999997"/>
    <n v="40.6"/>
    <n v="80.400000000000006"/>
  </r>
  <r>
    <x v="94"/>
    <n v="2017"/>
    <n v="11"/>
    <x v="3"/>
    <n v="31.71"/>
    <n v="38.729999999999997"/>
    <n v="81.900000000000006"/>
  </r>
  <r>
    <x v="95"/>
    <n v="2017"/>
    <n v="12"/>
    <x v="3"/>
    <n v="28.2"/>
    <n v="34.68"/>
    <n v="81.3"/>
  </r>
  <r>
    <x v="96"/>
    <n v="2018"/>
    <n v="1"/>
    <x v="3"/>
    <n v="25.84"/>
    <n v="32.68"/>
    <n v="79.099999999999994"/>
  </r>
  <r>
    <x v="97"/>
    <n v="2018"/>
    <n v="2"/>
    <x v="3"/>
    <n v="26.53"/>
    <n v="32.979999999999997"/>
    <n v="80.400000000000006"/>
  </r>
  <r>
    <x v="98"/>
    <n v="2018"/>
    <n v="3"/>
    <x v="3"/>
    <n v="29.33"/>
    <n v="36.74"/>
    <n v="79.8"/>
  </r>
  <r>
    <x v="99"/>
    <n v="2018"/>
    <n v="4"/>
    <x v="3"/>
    <n v="27.5"/>
    <n v="33.130000000000003"/>
    <n v="83"/>
  </r>
  <r>
    <x v="100"/>
    <n v="2018"/>
    <n v="5"/>
    <x v="3"/>
    <n v="32.46"/>
    <n v="39.520000000000003"/>
    <n v="82.1"/>
  </r>
  <r>
    <x v="101"/>
    <n v="2018"/>
    <n v="6"/>
    <x v="3"/>
    <n v="34.04"/>
    <n v="43.47"/>
    <n v="78.3"/>
  </r>
  <r>
    <x v="102"/>
    <n v="2018"/>
    <n v="7"/>
    <x v="3"/>
    <n v="34.6"/>
    <n v="43.33"/>
    <n v="79.900000000000006"/>
  </r>
  <r>
    <x v="103"/>
    <n v="2018"/>
    <n v="8"/>
    <x v="3"/>
    <n v="34.090000000000003"/>
    <n v="41.45"/>
    <n v="82.2"/>
  </r>
  <r>
    <x v="104"/>
    <n v="2018"/>
    <n v="9"/>
    <x v="3"/>
    <n v="33.28"/>
    <n v="41.93"/>
    <n v="79.400000000000006"/>
  </r>
  <r>
    <x v="105"/>
    <n v="2018"/>
    <n v="10"/>
    <x v="3"/>
    <n v="33.450000000000003"/>
    <n v="41.64"/>
    <n v="80.3"/>
  </r>
  <r>
    <x v="106"/>
    <n v="2018"/>
    <n v="11"/>
    <x v="3"/>
    <n v="32.130000000000003"/>
    <n v="38.89"/>
    <n v="82.6"/>
  </r>
  <r>
    <x v="107"/>
    <n v="2018"/>
    <n v="12"/>
    <x v="3"/>
    <n v="30.29"/>
    <n v="36.270000000000003"/>
    <n v="83.5"/>
  </r>
  <r>
    <x v="108"/>
    <n v="2019"/>
    <n v="1"/>
    <x v="3"/>
    <n v="28.81"/>
    <n v="35.14"/>
    <n v="82"/>
  </r>
  <r>
    <x v="109"/>
    <n v="2019"/>
    <n v="2"/>
    <x v="3"/>
    <n v="25.95"/>
    <n v="31.25"/>
    <n v="83"/>
  </r>
  <r>
    <x v="110"/>
    <n v="2019"/>
    <n v="3"/>
    <x v="3"/>
    <n v="24.9"/>
    <n v="30.67"/>
    <n v="81.2"/>
  </r>
  <r>
    <x v="111"/>
    <n v="2019"/>
    <n v="4"/>
    <x v="3"/>
    <n v="24.5"/>
    <n v="30.48"/>
    <n v="80.400000000000006"/>
  </r>
  <r>
    <x v="112"/>
    <n v="2019"/>
    <n v="5"/>
    <x v="3"/>
    <n v="25.32"/>
    <n v="30.95"/>
    <n v="81.8"/>
  </r>
  <r>
    <x v="113"/>
    <n v="2019"/>
    <n v="6"/>
    <x v="3"/>
    <n v="24.5"/>
    <n v="30.37"/>
    <n v="80.7"/>
  </r>
  <r>
    <x v="114"/>
    <n v="2019"/>
    <n v="7"/>
    <x v="3"/>
    <n v="23.43"/>
    <n v="27.9"/>
    <n v="84"/>
  </r>
  <r>
    <x v="115"/>
    <n v="2019"/>
    <n v="8"/>
    <x v="3"/>
    <n v="22.77"/>
    <n v="28.36"/>
    <n v="80.3"/>
  </r>
  <r>
    <x v="116"/>
    <n v="2019"/>
    <n v="9"/>
    <x v="3"/>
    <n v="20.84"/>
    <n v="25.76"/>
    <n v="80.900000000000006"/>
  </r>
  <r>
    <x v="117"/>
    <n v="2019"/>
    <n v="10"/>
    <x v="3"/>
    <n v="16.75"/>
    <n v="19.93"/>
    <n v="84"/>
  </r>
  <r>
    <x v="118"/>
    <n v="2019"/>
    <n v="11"/>
    <x v="3"/>
    <n v="14.27"/>
    <n v="17.579999999999998"/>
    <n v="81.2"/>
  </r>
  <r>
    <x v="119"/>
    <n v="2019"/>
    <n v="12"/>
    <x v="3"/>
    <n v="11.81"/>
    <n v="14.01"/>
    <n v="84.3"/>
  </r>
  <r>
    <x v="120"/>
    <n v="2020"/>
    <n v="1"/>
    <x v="3"/>
    <n v="9.58"/>
    <n v="12.03"/>
    <n v="79.599999999999994"/>
  </r>
  <r>
    <x v="121"/>
    <n v="2020"/>
    <n v="2"/>
    <x v="3"/>
    <n v="9.9"/>
    <n v="12.22"/>
    <n v="81"/>
  </r>
  <r>
    <x v="122"/>
    <n v="2020"/>
    <n v="3"/>
    <x v="3"/>
    <n v="1.65"/>
    <n v="2.99"/>
    <n v="55"/>
  </r>
  <r>
    <x v="123"/>
    <n v="2020"/>
    <n v="4"/>
    <x v="3"/>
    <n v="1.61"/>
    <n v="2.92"/>
    <n v="55"/>
  </r>
  <r>
    <x v="124"/>
    <n v="2020"/>
    <n v="5"/>
    <x v="3"/>
    <n v="2.04"/>
    <n v="3.71"/>
    <n v="55"/>
  </r>
  <r>
    <x v="125"/>
    <n v="2020"/>
    <n v="6"/>
    <x v="3"/>
    <n v="2.2599999999999998"/>
    <n v="4.12"/>
    <n v="55"/>
  </r>
  <r>
    <x v="126"/>
    <n v="2020"/>
    <n v="7"/>
    <x v="3"/>
    <n v="15.97"/>
    <n v="29.03"/>
    <n v="55"/>
  </r>
  <r>
    <x v="127"/>
    <n v="2020"/>
    <n v="8"/>
    <x v="3"/>
    <n v="5.76"/>
    <n v="10.47"/>
    <n v="55"/>
  </r>
  <r>
    <x v="128"/>
    <n v="2020"/>
    <n v="9"/>
    <x v="3"/>
    <n v="5.69"/>
    <n v="10.34"/>
    <n v="55"/>
  </r>
  <r>
    <x v="129"/>
    <n v="2020"/>
    <n v="10"/>
    <x v="3"/>
    <n v="5.85"/>
    <n v="10.63"/>
    <n v="55"/>
  </r>
  <r>
    <x v="130"/>
    <n v="2020"/>
    <n v="11"/>
    <x v="3"/>
    <n v="5.5"/>
    <n v="10"/>
    <n v="55"/>
  </r>
  <r>
    <x v="131"/>
    <n v="2020"/>
    <n v="12"/>
    <x v="3"/>
    <n v="5.15"/>
    <n v="9.35"/>
    <n v="55"/>
  </r>
  <r>
    <x v="132"/>
    <n v="2021"/>
    <n v="1"/>
    <x v="3"/>
    <n v="14.74"/>
    <n v="17.47"/>
    <n v="84.4"/>
  </r>
  <r>
    <x v="133"/>
    <n v="2021"/>
    <n v="2"/>
    <x v="3"/>
    <n v="6.7"/>
    <n v="8.32"/>
    <n v="80.5"/>
  </r>
  <r>
    <x v="134"/>
    <n v="2021"/>
    <n v="3"/>
    <x v="3"/>
    <n v="6.28"/>
    <n v="8.01"/>
    <n v="78.5"/>
  </r>
  <r>
    <x v="135"/>
    <n v="2021"/>
    <n v="4"/>
    <x v="3"/>
    <n v="7.76"/>
    <n v="9.56"/>
    <n v="81.2"/>
  </r>
  <r>
    <x v="136"/>
    <n v="2021"/>
    <n v="5"/>
    <x v="3"/>
    <n v="8.07"/>
    <n v="9.4600000000000009"/>
    <n v="85.3"/>
  </r>
  <r>
    <x v="137"/>
    <n v="2021"/>
    <n v="6"/>
    <x v="3"/>
    <n v="9.44"/>
    <n v="11.51"/>
    <n v="82"/>
  </r>
  <r>
    <x v="138"/>
    <n v="2021"/>
    <n v="7"/>
    <x v="3"/>
    <n v="21.56"/>
    <n v="26.38"/>
    <n v="81.7"/>
  </r>
  <r>
    <x v="139"/>
    <n v="2021"/>
    <n v="8"/>
    <x v="3"/>
    <n v="14.83"/>
    <n v="17.41"/>
    <n v="85.2"/>
  </r>
  <r>
    <x v="140"/>
    <n v="2021"/>
    <n v="9"/>
    <x v="3"/>
    <n v="15"/>
    <n v="17.97"/>
    <n v="83.5"/>
  </r>
  <r>
    <x v="141"/>
    <n v="2021"/>
    <n v="10"/>
    <x v="3"/>
    <n v="14.93"/>
    <n v="18.739999999999998"/>
    <n v="79.7"/>
  </r>
  <r>
    <x v="142"/>
    <n v="2021"/>
    <n v="11"/>
    <x v="3"/>
    <n v="14.02"/>
    <n v="17.22"/>
    <n v="81.400000000000006"/>
  </r>
  <r>
    <x v="143"/>
    <n v="2021"/>
    <n v="12"/>
    <x v="3"/>
    <n v="12.01"/>
    <n v="15.45"/>
    <n v="77.7"/>
  </r>
  <r>
    <x v="144"/>
    <n v="2022"/>
    <n v="1"/>
    <x v="3"/>
    <n v="18.57"/>
    <n v="22.35"/>
    <n v="83.1"/>
  </r>
  <r>
    <x v="145"/>
    <n v="2022"/>
    <n v="2"/>
    <x v="3"/>
    <n v="19.12"/>
    <n v="23.21"/>
    <n v="82.4"/>
  </r>
  <r>
    <x v="146"/>
    <n v="2022"/>
    <n v="3"/>
    <x v="3"/>
    <n v="21.06"/>
    <n v="26.51"/>
    <n v="79.5"/>
  </r>
  <r>
    <x v="147"/>
    <n v="2022"/>
    <n v="4"/>
    <x v="3"/>
    <n v="21.49"/>
    <n v="26.01"/>
    <n v="82.6"/>
  </r>
  <r>
    <x v="148"/>
    <n v="2022"/>
    <n v="5"/>
    <x v="3"/>
    <n v="23.15"/>
    <n v="28.21"/>
    <n v="82.1"/>
  </r>
  <r>
    <x v="149"/>
    <n v="2022"/>
    <n v="6"/>
    <x v="3"/>
    <n v="24.68"/>
    <n v="29.09"/>
    <n v="84.8"/>
  </r>
  <r>
    <x v="150"/>
    <n v="2022"/>
    <n v="7"/>
    <x v="3"/>
    <n v="27.12"/>
    <n v="31.51"/>
    <n v="86.1"/>
  </r>
  <r>
    <x v="151"/>
    <n v="2022"/>
    <n v="8"/>
    <x v="3"/>
    <n v="28.63"/>
    <n v="34.06"/>
    <n v="84.1"/>
  </r>
  <r>
    <x v="152"/>
    <n v="2022"/>
    <n v="9"/>
    <x v="3"/>
    <n v="28.58"/>
    <n v="34.880000000000003"/>
    <n v="81.900000000000006"/>
  </r>
  <r>
    <x v="153"/>
    <n v="2022"/>
    <n v="10"/>
    <x v="3"/>
    <n v="27.2"/>
    <n v="33.08"/>
    <n v="82.2"/>
  </r>
  <r>
    <x v="154"/>
    <n v="2022"/>
    <n v="11"/>
    <x v="3"/>
    <n v="26.42"/>
    <n v="32.840000000000003"/>
    <n v="80.400000000000006"/>
  </r>
  <r>
    <x v="155"/>
    <n v="2022"/>
    <n v="12"/>
    <x v="3"/>
    <n v="24.5"/>
    <n v="30.33"/>
    <n v="80.8"/>
  </r>
  <r>
    <x v="156"/>
    <n v="2023"/>
    <n v="1"/>
    <x v="3"/>
    <n v="25.17"/>
    <n v="30.76"/>
    <n v="81.8"/>
  </r>
  <r>
    <x v="157"/>
    <n v="2023"/>
    <n v="2"/>
    <x v="3"/>
    <n v="24.41"/>
    <n v="29.91"/>
    <n v="81.599999999999994"/>
  </r>
  <r>
    <x v="158"/>
    <n v="2023"/>
    <n v="3"/>
    <x v="3"/>
    <n v="24.41"/>
    <n v="30.76"/>
    <n v="79.400000000000006"/>
  </r>
  <r>
    <x v="159"/>
    <n v="2023"/>
    <n v="4"/>
    <x v="3"/>
    <n v="25.78"/>
    <n v="31.28"/>
    <n v="82.4"/>
  </r>
  <r>
    <x v="160"/>
    <n v="2023"/>
    <n v="5"/>
    <x v="3"/>
    <n v="30.06"/>
    <n v="36.47"/>
    <n v="82.4"/>
  </r>
  <r>
    <x v="161"/>
    <n v="2023"/>
    <n v="6"/>
    <x v="3"/>
    <n v="32.590000000000003"/>
    <n v="39.130000000000003"/>
    <n v="83.3"/>
  </r>
  <r>
    <x v="162"/>
    <n v="2023"/>
    <n v="7"/>
    <x v="3"/>
    <n v="35"/>
    <n v="42.74"/>
    <n v="81.900000000000006"/>
  </r>
  <r>
    <x v="163"/>
    <n v="2023"/>
    <n v="8"/>
    <x v="3"/>
    <n v="36.96"/>
    <n v="45.62"/>
    <n v="81"/>
  </r>
  <r>
    <x v="164"/>
    <n v="2023"/>
    <n v="9"/>
    <x v="3"/>
    <n v="33.49"/>
    <n v="42.09"/>
    <n v="79.599999999999994"/>
  </r>
  <r>
    <x v="165"/>
    <n v="2023"/>
    <n v="10"/>
    <x v="3"/>
    <n v="35.450000000000003"/>
    <n v="42.39"/>
    <n v="83.6"/>
  </r>
  <r>
    <x v="166"/>
    <n v="2023"/>
    <n v="11"/>
    <x v="3"/>
    <n v="30.86"/>
    <n v="36.520000000000003"/>
    <n v="84.5"/>
  </r>
  <r>
    <x v="167"/>
    <n v="2023"/>
    <n v="12"/>
    <x v="3"/>
    <n v="29.82"/>
    <n v="34.71"/>
    <n v="85.9"/>
  </r>
  <r>
    <x v="168"/>
    <n v="2024"/>
    <n v="1"/>
    <x v="3"/>
    <n v="26.58"/>
    <n v="32.630000000000003"/>
    <n v="81.5"/>
  </r>
  <r>
    <x v="169"/>
    <n v="2024"/>
    <n v="2"/>
    <x v="3"/>
    <n v="27.03"/>
    <n v="34.64"/>
    <n v="78.099999999999994"/>
  </r>
  <r>
    <x v="170"/>
    <n v="2024"/>
    <n v="3"/>
    <x v="3"/>
    <n v="29.19"/>
    <n v="35.840000000000003"/>
    <n v="81.5"/>
  </r>
  <r>
    <x v="171"/>
    <n v="2024"/>
    <n v="4"/>
    <x v="3"/>
    <n v="30.97"/>
    <n v="35.72"/>
    <n v="86.7"/>
  </r>
  <r>
    <x v="172"/>
    <n v="2024"/>
    <n v="5"/>
    <x v="3"/>
    <n v="32.65"/>
    <n v="40.229999999999997"/>
    <n v="81.2"/>
  </r>
  <r>
    <x v="173"/>
    <n v="2024"/>
    <n v="6"/>
    <x v="3"/>
    <n v="35.869999999999997"/>
    <n v="42.72"/>
    <n v="84"/>
  </r>
  <r>
    <x v="174"/>
    <n v="2024"/>
    <n v="7"/>
    <x v="3"/>
    <n v="37.21"/>
    <n v="46.09"/>
    <n v="80.7"/>
  </r>
  <r>
    <x v="175"/>
    <n v="2024"/>
    <n v="8"/>
    <x v="3"/>
    <n v="40.06"/>
    <n v="48.41"/>
    <n v="82.8"/>
  </r>
  <r>
    <x v="176"/>
    <n v="2024"/>
    <n v="9"/>
    <x v="3"/>
    <n v="36.130000000000003"/>
    <n v="45.42"/>
    <n v="79.5"/>
  </r>
  <r>
    <x v="177"/>
    <n v="2024"/>
    <n v="10"/>
    <x v="3"/>
    <n v="38.51"/>
    <n v="46.51"/>
    <n v="82.8"/>
  </r>
  <r>
    <x v="178"/>
    <n v="2024"/>
    <n v="11"/>
    <x v="3"/>
    <n v="33.72"/>
    <n v="41.29"/>
    <n v="81.7"/>
  </r>
  <r>
    <x v="179"/>
    <n v="2024"/>
    <n v="12"/>
    <x v="3"/>
    <n v="32.159999999999997"/>
    <n v="38.520000000000003"/>
    <n v="83.5"/>
  </r>
  <r>
    <x v="180"/>
    <n v="2025"/>
    <n v="1"/>
    <x v="3"/>
    <n v="29.24"/>
    <n v="36.4"/>
    <n v="80.3"/>
  </r>
  <r>
    <x v="181"/>
    <n v="2025"/>
    <n v="2"/>
    <x v="3"/>
    <n v="30.21"/>
    <n v="36.93"/>
    <n v="81.8"/>
  </r>
  <r>
    <x v="182"/>
    <n v="2025"/>
    <n v="3"/>
    <x v="3"/>
    <n v="31.42"/>
    <n v="39.51"/>
    <n v="79.5"/>
  </r>
  <r>
    <x v="183"/>
    <n v="2025"/>
    <n v="4"/>
    <x v="3"/>
    <n v="33.42"/>
    <n v="39.71"/>
    <n v="84.2"/>
  </r>
  <r>
    <x v="184"/>
    <n v="2025"/>
    <n v="5"/>
    <x v="3"/>
    <n v="36.53"/>
    <n v="44.4"/>
    <n v="82.3"/>
  </r>
  <r>
    <x v="185"/>
    <n v="2025"/>
    <n v="6"/>
    <x v="3"/>
    <n v="38.86"/>
    <n v="48.37"/>
    <n v="80.3"/>
  </r>
  <r>
    <x v="186"/>
    <n v="2025"/>
    <n v="7"/>
    <x v="3"/>
    <n v="41.15"/>
    <n v="48.69"/>
    <n v="84.5"/>
  </r>
  <r>
    <x v="187"/>
    <n v="2025"/>
    <n v="8"/>
    <x v="3"/>
    <n v="42.11"/>
    <n v="52.5"/>
    <n v="80.2"/>
  </r>
  <r>
    <x v="188"/>
    <n v="2025"/>
    <n v="9"/>
    <x v="3"/>
    <n v="41.19"/>
    <n v="49.99"/>
    <n v="82.4"/>
  </r>
  <r>
    <x v="189"/>
    <n v="2025"/>
    <n v="10"/>
    <x v="3"/>
    <n v="39.6"/>
    <n v="47.72"/>
    <n v="83"/>
  </r>
  <r>
    <x v="190"/>
    <n v="2025"/>
    <n v="11"/>
    <x v="3"/>
    <n v="38.090000000000003"/>
    <n v="45.47"/>
    <n v="83.8"/>
  </r>
  <r>
    <x v="191"/>
    <n v="2025"/>
    <n v="12"/>
    <x v="3"/>
    <n v="36.44"/>
    <n v="43.39"/>
    <n v="84"/>
  </r>
  <r>
    <x v="192"/>
    <n v="2026"/>
    <n v="1"/>
    <x v="3"/>
    <n v="32.15"/>
    <n v="40.090000000000003"/>
    <n v="80.2"/>
  </r>
  <r>
    <x v="193"/>
    <n v="2026"/>
    <n v="2"/>
    <x v="3"/>
    <n v="32.229999999999997"/>
    <n v="39.74"/>
    <n v="81.099999999999994"/>
  </r>
  <r>
    <x v="194"/>
    <n v="2026"/>
    <n v="3"/>
    <x v="3"/>
    <n v="31.95"/>
    <n v="39.39"/>
    <n v="81.099999999999994"/>
  </r>
  <r>
    <x v="195"/>
    <n v="2026"/>
    <n v="4"/>
    <x v="3"/>
    <n v="34.65"/>
    <n v="42.96"/>
    <n v="80.7"/>
  </r>
  <r>
    <x v="0"/>
    <n v="2010"/>
    <n v="1"/>
    <x v="4"/>
    <n v="11.99"/>
    <n v="14.21"/>
    <n v="84.4"/>
  </r>
  <r>
    <x v="1"/>
    <n v="2010"/>
    <n v="2"/>
    <x v="4"/>
    <n v="12.08"/>
    <n v="13.89"/>
    <n v="86.9"/>
  </r>
  <r>
    <x v="2"/>
    <n v="2010"/>
    <n v="3"/>
    <x v="4"/>
    <n v="11.71"/>
    <n v="14.39"/>
    <n v="81.400000000000006"/>
  </r>
  <r>
    <x v="3"/>
    <n v="2010"/>
    <n v="4"/>
    <x v="4"/>
    <n v="11.15"/>
    <n v="13.51"/>
    <n v="82.5"/>
  </r>
  <r>
    <x v="4"/>
    <n v="2010"/>
    <n v="5"/>
    <x v="4"/>
    <n v="10.78"/>
    <n v="12.51"/>
    <n v="86.2"/>
  </r>
  <r>
    <x v="5"/>
    <n v="2010"/>
    <n v="6"/>
    <x v="4"/>
    <n v="10.02"/>
    <n v="11.97"/>
    <n v="83.7"/>
  </r>
  <r>
    <x v="6"/>
    <n v="2010"/>
    <n v="7"/>
    <x v="4"/>
    <n v="10.23"/>
    <n v="12.98"/>
    <n v="78.900000000000006"/>
  </r>
  <r>
    <x v="7"/>
    <n v="2010"/>
    <n v="8"/>
    <x v="4"/>
    <n v="10.61"/>
    <n v="12.55"/>
    <n v="84.5"/>
  </r>
  <r>
    <x v="8"/>
    <n v="2010"/>
    <n v="9"/>
    <x v="4"/>
    <n v="10.56"/>
    <n v="12.87"/>
    <n v="82"/>
  </r>
  <r>
    <x v="9"/>
    <n v="2010"/>
    <n v="10"/>
    <x v="4"/>
    <n v="10.87"/>
    <n v="13.68"/>
    <n v="79.5"/>
  </r>
  <r>
    <x v="10"/>
    <n v="2010"/>
    <n v="11"/>
    <x v="4"/>
    <n v="12.46"/>
    <n v="15.37"/>
    <n v="81.099999999999994"/>
  </r>
  <r>
    <x v="11"/>
    <n v="2010"/>
    <n v="12"/>
    <x v="4"/>
    <n v="12.14"/>
    <n v="14.72"/>
    <n v="82.5"/>
  </r>
  <r>
    <x v="12"/>
    <n v="2011"/>
    <n v="1"/>
    <x v="4"/>
    <n v="12.56"/>
    <n v="15.5"/>
    <n v="81.099999999999994"/>
  </r>
  <r>
    <x v="13"/>
    <n v="2011"/>
    <n v="2"/>
    <x v="4"/>
    <n v="12.94"/>
    <n v="16.239999999999998"/>
    <n v="79.7"/>
  </r>
  <r>
    <x v="14"/>
    <n v="2011"/>
    <n v="3"/>
    <x v="4"/>
    <n v="11.96"/>
    <n v="14.53"/>
    <n v="82.3"/>
  </r>
  <r>
    <x v="15"/>
    <n v="2011"/>
    <n v="4"/>
    <x v="4"/>
    <n v="12.1"/>
    <n v="14.32"/>
    <n v="84.5"/>
  </r>
  <r>
    <x v="16"/>
    <n v="2011"/>
    <n v="5"/>
    <x v="4"/>
    <n v="10.99"/>
    <n v="13.1"/>
    <n v="83.9"/>
  </r>
  <r>
    <x v="17"/>
    <n v="2011"/>
    <n v="6"/>
    <x v="4"/>
    <n v="10.57"/>
    <n v="12.34"/>
    <n v="85.7"/>
  </r>
  <r>
    <x v="18"/>
    <n v="2011"/>
    <n v="7"/>
    <x v="4"/>
    <n v="10.35"/>
    <n v="12.23"/>
    <n v="84.7"/>
  </r>
  <r>
    <x v="19"/>
    <n v="2011"/>
    <n v="8"/>
    <x v="4"/>
    <n v="10.7"/>
    <n v="12.44"/>
    <n v="86"/>
  </r>
  <r>
    <x v="20"/>
    <n v="2011"/>
    <n v="9"/>
    <x v="4"/>
    <n v="11.6"/>
    <n v="14.51"/>
    <n v="80"/>
  </r>
  <r>
    <x v="21"/>
    <n v="2011"/>
    <n v="10"/>
    <x v="4"/>
    <n v="11.86"/>
    <n v="14.2"/>
    <n v="83.6"/>
  </r>
  <r>
    <x v="22"/>
    <n v="2011"/>
    <n v="11"/>
    <x v="4"/>
    <n v="13.11"/>
    <n v="16.02"/>
    <n v="81.900000000000006"/>
  </r>
  <r>
    <x v="23"/>
    <n v="2011"/>
    <n v="12"/>
    <x v="4"/>
    <n v="13.22"/>
    <n v="15.83"/>
    <n v="83.5"/>
  </r>
  <r>
    <x v="24"/>
    <n v="2012"/>
    <n v="1"/>
    <x v="4"/>
    <n v="13.47"/>
    <n v="16.97"/>
    <n v="79.400000000000006"/>
  </r>
  <r>
    <x v="25"/>
    <n v="2012"/>
    <n v="2"/>
    <x v="4"/>
    <n v="12.99"/>
    <n v="15.75"/>
    <n v="82.5"/>
  </r>
  <r>
    <x v="26"/>
    <n v="2012"/>
    <n v="3"/>
    <x v="4"/>
    <n v="13.39"/>
    <n v="15.72"/>
    <n v="85.2"/>
  </r>
  <r>
    <x v="27"/>
    <n v="2012"/>
    <n v="4"/>
    <x v="4"/>
    <n v="12.64"/>
    <n v="15.31"/>
    <n v="82.6"/>
  </r>
  <r>
    <x v="28"/>
    <n v="2012"/>
    <n v="5"/>
    <x v="4"/>
    <n v="12.05"/>
    <n v="14.94"/>
    <n v="80.7"/>
  </r>
  <r>
    <x v="29"/>
    <n v="2012"/>
    <n v="6"/>
    <x v="4"/>
    <n v="11.32"/>
    <n v="14.09"/>
    <n v="80.400000000000006"/>
  </r>
  <r>
    <x v="30"/>
    <n v="2012"/>
    <n v="7"/>
    <x v="4"/>
    <n v="10.84"/>
    <n v="13.11"/>
    <n v="82.7"/>
  </r>
  <r>
    <x v="31"/>
    <n v="2012"/>
    <n v="8"/>
    <x v="4"/>
    <n v="11.53"/>
    <n v="13.83"/>
    <n v="83.4"/>
  </r>
  <r>
    <x v="32"/>
    <n v="2012"/>
    <n v="9"/>
    <x v="4"/>
    <n v="12.17"/>
    <n v="14.75"/>
    <n v="82.5"/>
  </r>
  <r>
    <x v="33"/>
    <n v="2012"/>
    <n v="10"/>
    <x v="4"/>
    <n v="12.86"/>
    <n v="15.7"/>
    <n v="81.900000000000006"/>
  </r>
  <r>
    <x v="34"/>
    <n v="2012"/>
    <n v="11"/>
    <x v="4"/>
    <n v="13.5"/>
    <n v="16.760000000000002"/>
    <n v="80.5"/>
  </r>
  <r>
    <x v="35"/>
    <n v="2012"/>
    <n v="12"/>
    <x v="4"/>
    <n v="14.01"/>
    <n v="16.809999999999999"/>
    <n v="83.3"/>
  </r>
  <r>
    <x v="36"/>
    <n v="2013"/>
    <n v="1"/>
    <x v="4"/>
    <n v="13.8"/>
    <n v="16.809999999999999"/>
    <n v="82.1"/>
  </r>
  <r>
    <x v="37"/>
    <n v="2013"/>
    <n v="2"/>
    <x v="4"/>
    <n v="13.7"/>
    <n v="16.93"/>
    <n v="80.900000000000006"/>
  </r>
  <r>
    <x v="38"/>
    <n v="2013"/>
    <n v="3"/>
    <x v="4"/>
    <n v="13.1"/>
    <n v="15.49"/>
    <n v="84.5"/>
  </r>
  <r>
    <x v="39"/>
    <n v="2013"/>
    <n v="4"/>
    <x v="4"/>
    <n v="13.37"/>
    <n v="16.09"/>
    <n v="83.1"/>
  </r>
  <r>
    <x v="40"/>
    <n v="2013"/>
    <n v="5"/>
    <x v="4"/>
    <n v="13.1"/>
    <n v="16.05"/>
    <n v="81.599999999999994"/>
  </r>
  <r>
    <x v="41"/>
    <n v="2013"/>
    <n v="6"/>
    <x v="4"/>
    <n v="13.05"/>
    <n v="16.010000000000002"/>
    <n v="81.5"/>
  </r>
  <r>
    <x v="42"/>
    <n v="2013"/>
    <n v="7"/>
    <x v="4"/>
    <n v="11.88"/>
    <n v="14.63"/>
    <n v="81.2"/>
  </r>
  <r>
    <x v="43"/>
    <n v="2013"/>
    <n v="8"/>
    <x v="4"/>
    <n v="12.15"/>
    <n v="14.52"/>
    <n v="83.7"/>
  </r>
  <r>
    <x v="44"/>
    <n v="2013"/>
    <n v="9"/>
    <x v="4"/>
    <n v="12.5"/>
    <n v="14.61"/>
    <n v="85.6"/>
  </r>
  <r>
    <x v="45"/>
    <n v="2013"/>
    <n v="10"/>
    <x v="4"/>
    <n v="13.35"/>
    <n v="16.170000000000002"/>
    <n v="82.5"/>
  </r>
  <r>
    <x v="46"/>
    <n v="2013"/>
    <n v="11"/>
    <x v="4"/>
    <n v="13.59"/>
    <n v="16.399999999999999"/>
    <n v="82.8"/>
  </r>
  <r>
    <x v="47"/>
    <n v="2013"/>
    <n v="12"/>
    <x v="4"/>
    <n v="14.45"/>
    <n v="17.88"/>
    <n v="80.8"/>
  </r>
  <r>
    <x v="48"/>
    <n v="2014"/>
    <n v="1"/>
    <x v="4"/>
    <n v="14.4"/>
    <n v="16.489999999999998"/>
    <n v="87.3"/>
  </r>
  <r>
    <x v="49"/>
    <n v="2014"/>
    <n v="2"/>
    <x v="4"/>
    <n v="14.5"/>
    <n v="18.329999999999998"/>
    <n v="79.099999999999994"/>
  </r>
  <r>
    <x v="50"/>
    <n v="2014"/>
    <n v="3"/>
    <x v="4"/>
    <n v="13.88"/>
    <n v="16.95"/>
    <n v="81.900000000000006"/>
  </r>
  <r>
    <x v="51"/>
    <n v="2014"/>
    <n v="4"/>
    <x v="4"/>
    <n v="13.77"/>
    <n v="16.57"/>
    <n v="83.1"/>
  </r>
  <r>
    <x v="52"/>
    <n v="2014"/>
    <n v="5"/>
    <x v="4"/>
    <n v="13.18"/>
    <n v="16.34"/>
    <n v="80.7"/>
  </r>
  <r>
    <x v="53"/>
    <n v="2014"/>
    <n v="6"/>
    <x v="4"/>
    <n v="12.6"/>
    <n v="15.7"/>
    <n v="80.2"/>
  </r>
  <r>
    <x v="54"/>
    <n v="2014"/>
    <n v="7"/>
    <x v="4"/>
    <n v="12.1"/>
    <n v="15.1"/>
    <n v="80.2"/>
  </r>
  <r>
    <x v="55"/>
    <n v="2014"/>
    <n v="8"/>
    <x v="4"/>
    <n v="12.12"/>
    <n v="14.41"/>
    <n v="84.1"/>
  </r>
  <r>
    <x v="56"/>
    <n v="2014"/>
    <n v="9"/>
    <x v="4"/>
    <n v="13.38"/>
    <n v="15.94"/>
    <n v="84"/>
  </r>
  <r>
    <x v="57"/>
    <n v="2014"/>
    <n v="10"/>
    <x v="4"/>
    <n v="13.87"/>
    <n v="16.600000000000001"/>
    <n v="83.6"/>
  </r>
  <r>
    <x v="58"/>
    <n v="2014"/>
    <n v="11"/>
    <x v="4"/>
    <n v="13.84"/>
    <n v="16.53"/>
    <n v="83.7"/>
  </r>
  <r>
    <x v="59"/>
    <n v="2014"/>
    <n v="12"/>
    <x v="4"/>
    <n v="15.24"/>
    <n v="18.3"/>
    <n v="83.3"/>
  </r>
  <r>
    <x v="60"/>
    <n v="2015"/>
    <n v="1"/>
    <x v="4"/>
    <n v="15.58"/>
    <n v="19.46"/>
    <n v="80"/>
  </r>
  <r>
    <x v="61"/>
    <n v="2015"/>
    <n v="2"/>
    <x v="4"/>
    <n v="14.63"/>
    <n v="18.16"/>
    <n v="80.599999999999994"/>
  </r>
  <r>
    <x v="62"/>
    <n v="2015"/>
    <n v="3"/>
    <x v="4"/>
    <n v="15.13"/>
    <n v="18.14"/>
    <n v="83.4"/>
  </r>
  <r>
    <x v="63"/>
    <n v="2015"/>
    <n v="4"/>
    <x v="4"/>
    <n v="13.68"/>
    <n v="17.09"/>
    <n v="80"/>
  </r>
  <r>
    <x v="64"/>
    <n v="2015"/>
    <n v="5"/>
    <x v="4"/>
    <n v="13.32"/>
    <n v="16.39"/>
    <n v="81.3"/>
  </r>
  <r>
    <x v="65"/>
    <n v="2015"/>
    <n v="6"/>
    <x v="4"/>
    <n v="12.64"/>
    <n v="15.97"/>
    <n v="79.2"/>
  </r>
  <r>
    <x v="66"/>
    <n v="2015"/>
    <n v="7"/>
    <x v="4"/>
    <n v="12.73"/>
    <n v="15.49"/>
    <n v="82.2"/>
  </r>
  <r>
    <x v="67"/>
    <n v="2015"/>
    <n v="8"/>
    <x v="4"/>
    <n v="12.86"/>
    <n v="15.72"/>
    <n v="81.8"/>
  </r>
  <r>
    <x v="68"/>
    <n v="2015"/>
    <n v="9"/>
    <x v="4"/>
    <n v="14.38"/>
    <n v="18.12"/>
    <n v="79.400000000000006"/>
  </r>
  <r>
    <x v="69"/>
    <n v="2015"/>
    <n v="10"/>
    <x v="4"/>
    <n v="14.66"/>
    <n v="17.440000000000001"/>
    <n v="84"/>
  </r>
  <r>
    <x v="70"/>
    <n v="2015"/>
    <n v="11"/>
    <x v="4"/>
    <n v="15.38"/>
    <n v="19.02"/>
    <n v="80.900000000000006"/>
  </r>
  <r>
    <x v="71"/>
    <n v="2015"/>
    <n v="12"/>
    <x v="4"/>
    <n v="16.78"/>
    <n v="20.62"/>
    <n v="81.400000000000006"/>
  </r>
  <r>
    <x v="72"/>
    <n v="2016"/>
    <n v="1"/>
    <x v="4"/>
    <n v="17.059999999999999"/>
    <n v="20.58"/>
    <n v="82.9"/>
  </r>
  <r>
    <x v="73"/>
    <n v="2016"/>
    <n v="2"/>
    <x v="4"/>
    <n v="16.22"/>
    <n v="19.55"/>
    <n v="83"/>
  </r>
  <r>
    <x v="74"/>
    <n v="2016"/>
    <n v="3"/>
    <x v="4"/>
    <n v="16.079999999999998"/>
    <n v="19.13"/>
    <n v="84"/>
  </r>
  <r>
    <x v="75"/>
    <n v="2016"/>
    <n v="4"/>
    <x v="4"/>
    <n v="15"/>
    <n v="18.28"/>
    <n v="82.1"/>
  </r>
  <r>
    <x v="76"/>
    <n v="2016"/>
    <n v="5"/>
    <x v="4"/>
    <n v="14.54"/>
    <n v="17.43"/>
    <n v="83.4"/>
  </r>
  <r>
    <x v="77"/>
    <n v="2016"/>
    <n v="6"/>
    <x v="4"/>
    <n v="13.66"/>
    <n v="16.25"/>
    <n v="84"/>
  </r>
  <r>
    <x v="78"/>
    <n v="2016"/>
    <n v="7"/>
    <x v="4"/>
    <n v="14.15"/>
    <n v="17.82"/>
    <n v="79.400000000000006"/>
  </r>
  <r>
    <x v="79"/>
    <n v="2016"/>
    <n v="8"/>
    <x v="4"/>
    <n v="14.76"/>
    <n v="17.07"/>
    <n v="86.5"/>
  </r>
  <r>
    <x v="80"/>
    <n v="2016"/>
    <n v="9"/>
    <x v="4"/>
    <n v="15.34"/>
    <n v="18.079999999999998"/>
    <n v="84.9"/>
  </r>
  <r>
    <x v="81"/>
    <n v="2016"/>
    <n v="10"/>
    <x v="4"/>
    <n v="15.79"/>
    <n v="20.07"/>
    <n v="78.7"/>
  </r>
  <r>
    <x v="82"/>
    <n v="2016"/>
    <n v="11"/>
    <x v="4"/>
    <n v="15.73"/>
    <n v="19.059999999999999"/>
    <n v="82.5"/>
  </r>
  <r>
    <x v="83"/>
    <n v="2016"/>
    <n v="12"/>
    <x v="4"/>
    <n v="16.989999999999998"/>
    <n v="21.19"/>
    <n v="80.2"/>
  </r>
  <r>
    <x v="84"/>
    <n v="2017"/>
    <n v="1"/>
    <x v="4"/>
    <n v="17.57"/>
    <n v="21.11"/>
    <n v="83.2"/>
  </r>
  <r>
    <x v="85"/>
    <n v="2017"/>
    <n v="2"/>
    <x v="4"/>
    <n v="16.73"/>
    <n v="20.63"/>
    <n v="81.099999999999994"/>
  </r>
  <r>
    <x v="86"/>
    <n v="2017"/>
    <n v="3"/>
    <x v="4"/>
    <n v="17.760000000000002"/>
    <n v="22.24"/>
    <n v="79.8"/>
  </r>
  <r>
    <x v="87"/>
    <n v="2017"/>
    <n v="4"/>
    <x v="4"/>
    <n v="16.68"/>
    <n v="20.58"/>
    <n v="81"/>
  </r>
  <r>
    <x v="88"/>
    <n v="2017"/>
    <n v="5"/>
    <x v="4"/>
    <n v="15.77"/>
    <n v="18.73"/>
    <n v="84.2"/>
  </r>
  <r>
    <x v="89"/>
    <n v="2017"/>
    <n v="6"/>
    <x v="4"/>
    <n v="15.33"/>
    <n v="18.29"/>
    <n v="83.8"/>
  </r>
  <r>
    <x v="90"/>
    <n v="2017"/>
    <n v="7"/>
    <x v="4"/>
    <n v="14.35"/>
    <n v="17.03"/>
    <n v="84.2"/>
  </r>
  <r>
    <x v="91"/>
    <n v="2017"/>
    <n v="8"/>
    <x v="4"/>
    <n v="14.76"/>
    <n v="17.89"/>
    <n v="82.5"/>
  </r>
  <r>
    <x v="92"/>
    <n v="2017"/>
    <n v="9"/>
    <x v="4"/>
    <n v="15.96"/>
    <n v="19.23"/>
    <n v="83"/>
  </r>
  <r>
    <x v="93"/>
    <n v="2017"/>
    <n v="10"/>
    <x v="4"/>
    <n v="16.920000000000002"/>
    <n v="21.07"/>
    <n v="80.3"/>
  </r>
  <r>
    <x v="94"/>
    <n v="2017"/>
    <n v="11"/>
    <x v="4"/>
    <n v="16.97"/>
    <n v="20.27"/>
    <n v="83.7"/>
  </r>
  <r>
    <x v="95"/>
    <n v="2017"/>
    <n v="12"/>
    <x v="4"/>
    <n v="18.48"/>
    <n v="21.93"/>
    <n v="84.3"/>
  </r>
  <r>
    <x v="96"/>
    <n v="2018"/>
    <n v="1"/>
    <x v="4"/>
    <n v="18.670000000000002"/>
    <n v="23.58"/>
    <n v="79.2"/>
  </r>
  <r>
    <x v="97"/>
    <n v="2018"/>
    <n v="2"/>
    <x v="4"/>
    <n v="19.11"/>
    <n v="23.52"/>
    <n v="81.3"/>
  </r>
  <r>
    <x v="98"/>
    <n v="2018"/>
    <n v="3"/>
    <x v="4"/>
    <n v="18.21"/>
    <n v="22.56"/>
    <n v="80.7"/>
  </r>
  <r>
    <x v="99"/>
    <n v="2018"/>
    <n v="4"/>
    <x v="4"/>
    <n v="18.12"/>
    <n v="22.58"/>
    <n v="80.2"/>
  </r>
  <r>
    <x v="100"/>
    <n v="2018"/>
    <n v="5"/>
    <x v="4"/>
    <n v="16.3"/>
    <n v="19.829999999999998"/>
    <n v="82.2"/>
  </r>
  <r>
    <x v="101"/>
    <n v="2018"/>
    <n v="6"/>
    <x v="4"/>
    <n v="15.4"/>
    <n v="18.62"/>
    <n v="82.7"/>
  </r>
  <r>
    <x v="102"/>
    <n v="2018"/>
    <n v="7"/>
    <x v="4"/>
    <n v="16.53"/>
    <n v="20.399999999999999"/>
    <n v="81"/>
  </r>
  <r>
    <x v="103"/>
    <n v="2018"/>
    <n v="8"/>
    <x v="4"/>
    <n v="16.25"/>
    <n v="21.24"/>
    <n v="76.5"/>
  </r>
  <r>
    <x v="104"/>
    <n v="2018"/>
    <n v="9"/>
    <x v="4"/>
    <n v="16.760000000000002"/>
    <n v="20.6"/>
    <n v="81.400000000000006"/>
  </r>
  <r>
    <x v="105"/>
    <n v="2018"/>
    <n v="10"/>
    <x v="4"/>
    <n v="17.32"/>
    <n v="20.58"/>
    <n v="84.2"/>
  </r>
  <r>
    <x v="106"/>
    <n v="2018"/>
    <n v="11"/>
    <x v="4"/>
    <n v="18.54"/>
    <n v="22.71"/>
    <n v="81.599999999999994"/>
  </r>
  <r>
    <x v="107"/>
    <n v="2018"/>
    <n v="12"/>
    <x v="4"/>
    <n v="19.25"/>
    <n v="24.63"/>
    <n v="78.2"/>
  </r>
  <r>
    <x v="108"/>
    <n v="2019"/>
    <n v="1"/>
    <x v="4"/>
    <n v="19.14"/>
    <n v="22.81"/>
    <n v="83.9"/>
  </r>
  <r>
    <x v="109"/>
    <n v="2019"/>
    <n v="2"/>
    <x v="4"/>
    <n v="17.420000000000002"/>
    <n v="21.65"/>
    <n v="80.5"/>
  </r>
  <r>
    <x v="110"/>
    <n v="2019"/>
    <n v="3"/>
    <x v="4"/>
    <n v="16.77"/>
    <n v="19.62"/>
    <n v="85.5"/>
  </r>
  <r>
    <x v="111"/>
    <n v="2019"/>
    <n v="4"/>
    <x v="4"/>
    <n v="15.61"/>
    <n v="19.29"/>
    <n v="80.900000000000006"/>
  </r>
  <r>
    <x v="112"/>
    <n v="2019"/>
    <n v="5"/>
    <x v="4"/>
    <n v="14.16"/>
    <n v="17.59"/>
    <n v="80.5"/>
  </r>
  <r>
    <x v="113"/>
    <n v="2019"/>
    <n v="6"/>
    <x v="4"/>
    <n v="12.63"/>
    <n v="15.93"/>
    <n v="79.3"/>
  </r>
  <r>
    <x v="114"/>
    <n v="2019"/>
    <n v="7"/>
    <x v="4"/>
    <n v="11.62"/>
    <n v="14.31"/>
    <n v="81.2"/>
  </r>
  <r>
    <x v="115"/>
    <n v="2019"/>
    <n v="8"/>
    <x v="4"/>
    <n v="10.26"/>
    <n v="12.58"/>
    <n v="81.599999999999994"/>
  </r>
  <r>
    <x v="116"/>
    <n v="2019"/>
    <n v="9"/>
    <x v="4"/>
    <n v="10.220000000000001"/>
    <n v="12.61"/>
    <n v="81"/>
  </r>
  <r>
    <x v="117"/>
    <n v="2019"/>
    <n v="10"/>
    <x v="4"/>
    <n v="9.91"/>
    <n v="12.26"/>
    <n v="80.8"/>
  </r>
  <r>
    <x v="118"/>
    <n v="2019"/>
    <n v="11"/>
    <x v="4"/>
    <n v="9.4499999999999993"/>
    <n v="11.4"/>
    <n v="82.9"/>
  </r>
  <r>
    <x v="119"/>
    <n v="2019"/>
    <n v="12"/>
    <x v="4"/>
    <n v="8.59"/>
    <n v="10.59"/>
    <n v="81.099999999999994"/>
  </r>
  <r>
    <x v="120"/>
    <n v="2020"/>
    <n v="1"/>
    <x v="4"/>
    <n v="7.74"/>
    <n v="9.31"/>
    <n v="83.1"/>
  </r>
  <r>
    <x v="121"/>
    <n v="2020"/>
    <n v="2"/>
    <x v="4"/>
    <n v="8.3800000000000008"/>
    <n v="9.99"/>
    <n v="83.9"/>
  </r>
  <r>
    <x v="122"/>
    <n v="2020"/>
    <n v="3"/>
    <x v="4"/>
    <n v="1.22"/>
    <n v="2.21"/>
    <n v="55"/>
  </r>
  <r>
    <x v="123"/>
    <n v="2020"/>
    <n v="4"/>
    <x v="4"/>
    <n v="1.18"/>
    <n v="2.15"/>
    <n v="55"/>
  </r>
  <r>
    <x v="124"/>
    <n v="2020"/>
    <n v="5"/>
    <x v="4"/>
    <n v="1.1599999999999999"/>
    <n v="2.12"/>
    <n v="55"/>
  </r>
  <r>
    <x v="125"/>
    <n v="2020"/>
    <n v="6"/>
    <x v="4"/>
    <n v="1.1200000000000001"/>
    <n v="2.0299999999999998"/>
    <n v="55"/>
  </r>
  <r>
    <x v="126"/>
    <n v="2020"/>
    <n v="7"/>
    <x v="4"/>
    <n v="7.8"/>
    <n v="14.18"/>
    <n v="55"/>
  </r>
  <r>
    <x v="127"/>
    <n v="2020"/>
    <n v="8"/>
    <x v="4"/>
    <n v="2.81"/>
    <n v="5.1100000000000003"/>
    <n v="55"/>
  </r>
  <r>
    <x v="128"/>
    <n v="2020"/>
    <n v="9"/>
    <x v="4"/>
    <n v="3.07"/>
    <n v="5.58"/>
    <n v="55"/>
  </r>
  <r>
    <x v="129"/>
    <n v="2020"/>
    <n v="10"/>
    <x v="4"/>
    <n v="3.17"/>
    <n v="5.77"/>
    <n v="55"/>
  </r>
  <r>
    <x v="130"/>
    <n v="2020"/>
    <n v="11"/>
    <x v="4"/>
    <n v="3.57"/>
    <n v="6.5"/>
    <n v="55"/>
  </r>
  <r>
    <x v="131"/>
    <n v="2020"/>
    <n v="12"/>
    <x v="4"/>
    <n v="3.67"/>
    <n v="6.68"/>
    <n v="55"/>
  </r>
  <r>
    <x v="132"/>
    <n v="2021"/>
    <n v="1"/>
    <x v="4"/>
    <n v="11.26"/>
    <n v="13.43"/>
    <n v="83.8"/>
  </r>
  <r>
    <x v="133"/>
    <n v="2021"/>
    <n v="2"/>
    <x v="4"/>
    <n v="5.05"/>
    <n v="6.08"/>
    <n v="83.2"/>
  </r>
  <r>
    <x v="134"/>
    <n v="2021"/>
    <n v="3"/>
    <x v="4"/>
    <n v="4.97"/>
    <n v="6.16"/>
    <n v="80.7"/>
  </r>
  <r>
    <x v="135"/>
    <n v="2021"/>
    <n v="4"/>
    <x v="4"/>
    <n v="4.8"/>
    <n v="5.85"/>
    <n v="82"/>
  </r>
  <r>
    <x v="136"/>
    <n v="2021"/>
    <n v="5"/>
    <x v="4"/>
    <n v="4.7"/>
    <n v="6"/>
    <n v="78.2"/>
  </r>
  <r>
    <x v="137"/>
    <n v="2021"/>
    <n v="6"/>
    <x v="4"/>
    <n v="4.57"/>
    <n v="5.56"/>
    <n v="82.1"/>
  </r>
  <r>
    <x v="138"/>
    <n v="2021"/>
    <n v="7"/>
    <x v="4"/>
    <n v="10.26"/>
    <n v="12.59"/>
    <n v="81.5"/>
  </r>
  <r>
    <x v="139"/>
    <n v="2021"/>
    <n v="8"/>
    <x v="4"/>
    <n v="7.08"/>
    <n v="8.8699999999999992"/>
    <n v="79.8"/>
  </r>
  <r>
    <x v="140"/>
    <n v="2021"/>
    <n v="9"/>
    <x v="4"/>
    <n v="7.06"/>
    <n v="8.68"/>
    <n v="81.3"/>
  </r>
  <r>
    <x v="141"/>
    <n v="2021"/>
    <n v="10"/>
    <x v="4"/>
    <n v="8.15"/>
    <n v="9.5399999999999991"/>
    <n v="85.4"/>
  </r>
  <r>
    <x v="142"/>
    <n v="2021"/>
    <n v="11"/>
    <x v="4"/>
    <n v="8.73"/>
    <n v="11.05"/>
    <n v="79.099999999999994"/>
  </r>
  <r>
    <x v="143"/>
    <n v="2021"/>
    <n v="12"/>
    <x v="4"/>
    <n v="8.94"/>
    <n v="10.84"/>
    <n v="82.5"/>
  </r>
  <r>
    <x v="144"/>
    <n v="2022"/>
    <n v="1"/>
    <x v="4"/>
    <n v="14.38"/>
    <n v="17.3"/>
    <n v="83.1"/>
  </r>
  <r>
    <x v="145"/>
    <n v="2022"/>
    <n v="2"/>
    <x v="4"/>
    <n v="13.92"/>
    <n v="16.95"/>
    <n v="82.1"/>
  </r>
  <r>
    <x v="146"/>
    <n v="2022"/>
    <n v="3"/>
    <x v="4"/>
    <n v="14.18"/>
    <n v="16.95"/>
    <n v="83.7"/>
  </r>
  <r>
    <x v="147"/>
    <n v="2022"/>
    <n v="4"/>
    <x v="4"/>
    <n v="13.18"/>
    <n v="16.21"/>
    <n v="81.3"/>
  </r>
  <r>
    <x v="148"/>
    <n v="2022"/>
    <n v="5"/>
    <x v="4"/>
    <n v="11.97"/>
    <n v="14.82"/>
    <n v="80.8"/>
  </r>
  <r>
    <x v="149"/>
    <n v="2022"/>
    <n v="6"/>
    <x v="4"/>
    <n v="12.44"/>
    <n v="15.56"/>
    <n v="80"/>
  </r>
  <r>
    <x v="150"/>
    <n v="2022"/>
    <n v="7"/>
    <x v="4"/>
    <n v="12.66"/>
    <n v="15.46"/>
    <n v="81.900000000000006"/>
  </r>
  <r>
    <x v="151"/>
    <n v="2022"/>
    <n v="8"/>
    <x v="4"/>
    <n v="12.09"/>
    <n v="14.67"/>
    <n v="82.4"/>
  </r>
  <r>
    <x v="152"/>
    <n v="2022"/>
    <n v="9"/>
    <x v="4"/>
    <n v="13.24"/>
    <n v="15.96"/>
    <n v="83"/>
  </r>
  <r>
    <x v="153"/>
    <n v="2022"/>
    <n v="10"/>
    <x v="4"/>
    <n v="13.95"/>
    <n v="17"/>
    <n v="82.1"/>
  </r>
  <r>
    <x v="154"/>
    <n v="2022"/>
    <n v="11"/>
    <x v="4"/>
    <n v="15.27"/>
    <n v="18.48"/>
    <n v="82.6"/>
  </r>
  <r>
    <x v="155"/>
    <n v="2022"/>
    <n v="12"/>
    <x v="4"/>
    <n v="16.18"/>
    <n v="19.850000000000001"/>
    <n v="81.5"/>
  </r>
  <r>
    <x v="156"/>
    <n v="2023"/>
    <n v="1"/>
    <x v="4"/>
    <n v="15.76"/>
    <n v="19.93"/>
    <n v="79"/>
  </r>
  <r>
    <x v="157"/>
    <n v="2023"/>
    <n v="2"/>
    <x v="4"/>
    <n v="16.190000000000001"/>
    <n v="19.75"/>
    <n v="82"/>
  </r>
  <r>
    <x v="158"/>
    <n v="2023"/>
    <n v="3"/>
    <x v="4"/>
    <n v="15.81"/>
    <n v="18.989999999999998"/>
    <n v="83.3"/>
  </r>
  <r>
    <x v="159"/>
    <n v="2023"/>
    <n v="4"/>
    <x v="4"/>
    <n v="15.37"/>
    <n v="19.2"/>
    <n v="80.099999999999994"/>
  </r>
  <r>
    <x v="160"/>
    <n v="2023"/>
    <n v="5"/>
    <x v="4"/>
    <n v="14.76"/>
    <n v="17.899999999999999"/>
    <n v="82.5"/>
  </r>
  <r>
    <x v="161"/>
    <n v="2023"/>
    <n v="6"/>
    <x v="4"/>
    <n v="14.6"/>
    <n v="17.03"/>
    <n v="85.8"/>
  </r>
  <r>
    <x v="162"/>
    <n v="2023"/>
    <n v="7"/>
    <x v="4"/>
    <n v="14.11"/>
    <n v="17.239999999999998"/>
    <n v="81.900000000000006"/>
  </r>
  <r>
    <x v="163"/>
    <n v="2023"/>
    <n v="8"/>
    <x v="4"/>
    <n v="14.96"/>
    <n v="18.25"/>
    <n v="82"/>
  </r>
  <r>
    <x v="164"/>
    <n v="2023"/>
    <n v="9"/>
    <x v="4"/>
    <n v="15.29"/>
    <n v="19.37"/>
    <n v="78.900000000000006"/>
  </r>
  <r>
    <x v="165"/>
    <n v="2023"/>
    <n v="10"/>
    <x v="4"/>
    <n v="16.25"/>
    <n v="20.350000000000001"/>
    <n v="79.900000000000006"/>
  </r>
  <r>
    <x v="166"/>
    <n v="2023"/>
    <n v="11"/>
    <x v="4"/>
    <n v="16.62"/>
    <n v="20.67"/>
    <n v="80.400000000000006"/>
  </r>
  <r>
    <x v="167"/>
    <n v="2023"/>
    <n v="12"/>
    <x v="4"/>
    <n v="17.73"/>
    <n v="21.31"/>
    <n v="83.2"/>
  </r>
  <r>
    <x v="168"/>
    <n v="2024"/>
    <n v="1"/>
    <x v="4"/>
    <n v="19.04"/>
    <n v="23.74"/>
    <n v="80.2"/>
  </r>
  <r>
    <x v="169"/>
    <n v="2024"/>
    <n v="2"/>
    <x v="4"/>
    <n v="18.420000000000002"/>
    <n v="23.53"/>
    <n v="78.3"/>
  </r>
  <r>
    <x v="170"/>
    <n v="2024"/>
    <n v="3"/>
    <x v="4"/>
    <n v="17.760000000000002"/>
    <n v="21.45"/>
    <n v="82.8"/>
  </r>
  <r>
    <x v="171"/>
    <n v="2024"/>
    <n v="4"/>
    <x v="4"/>
    <n v="17.68"/>
    <n v="21.95"/>
    <n v="80.599999999999994"/>
  </r>
  <r>
    <x v="172"/>
    <n v="2024"/>
    <n v="5"/>
    <x v="4"/>
    <n v="16.989999999999998"/>
    <n v="21.52"/>
    <n v="79"/>
  </r>
  <r>
    <x v="173"/>
    <n v="2024"/>
    <n v="6"/>
    <x v="4"/>
    <n v="15.32"/>
    <n v="18.37"/>
    <n v="83.4"/>
  </r>
  <r>
    <x v="174"/>
    <n v="2024"/>
    <n v="7"/>
    <x v="4"/>
    <n v="16.559999999999999"/>
    <n v="19.95"/>
    <n v="83"/>
  </r>
  <r>
    <x v="175"/>
    <n v="2024"/>
    <n v="8"/>
    <x v="4"/>
    <n v="16.04"/>
    <n v="20.67"/>
    <n v="77.599999999999994"/>
  </r>
  <r>
    <x v="176"/>
    <n v="2024"/>
    <n v="9"/>
    <x v="4"/>
    <n v="15.8"/>
    <n v="19.2"/>
    <n v="82.3"/>
  </r>
  <r>
    <x v="177"/>
    <n v="2024"/>
    <n v="10"/>
    <x v="4"/>
    <n v="17.559999999999999"/>
    <n v="22.01"/>
    <n v="79.8"/>
  </r>
  <r>
    <x v="178"/>
    <n v="2024"/>
    <n v="11"/>
    <x v="4"/>
    <n v="18.760000000000002"/>
    <n v="22.82"/>
    <n v="82.2"/>
  </r>
  <r>
    <x v="179"/>
    <n v="2024"/>
    <n v="12"/>
    <x v="4"/>
    <n v="20.03"/>
    <n v="24.34"/>
    <n v="82.3"/>
  </r>
  <r>
    <x v="180"/>
    <n v="2025"/>
    <n v="1"/>
    <x v="4"/>
    <n v="20.54"/>
    <n v="25.05"/>
    <n v="82"/>
  </r>
  <r>
    <x v="181"/>
    <n v="2025"/>
    <n v="2"/>
    <x v="4"/>
    <n v="19.579999999999998"/>
    <n v="23.28"/>
    <n v="84.1"/>
  </r>
  <r>
    <x v="182"/>
    <n v="2025"/>
    <n v="3"/>
    <x v="4"/>
    <n v="18.52"/>
    <n v="21.14"/>
    <n v="87.6"/>
  </r>
  <r>
    <x v="183"/>
    <n v="2025"/>
    <n v="4"/>
    <x v="4"/>
    <n v="18.46"/>
    <n v="22.3"/>
    <n v="82.8"/>
  </r>
  <r>
    <x v="184"/>
    <n v="2025"/>
    <n v="5"/>
    <x v="4"/>
    <n v="17.690000000000001"/>
    <n v="20.63"/>
    <n v="85.8"/>
  </r>
  <r>
    <x v="185"/>
    <n v="2025"/>
    <n v="6"/>
    <x v="4"/>
    <n v="17.23"/>
    <n v="21.86"/>
    <n v="78.8"/>
  </r>
  <r>
    <x v="186"/>
    <n v="2025"/>
    <n v="7"/>
    <x v="4"/>
    <n v="17.37"/>
    <n v="21.36"/>
    <n v="81.3"/>
  </r>
  <r>
    <x v="187"/>
    <n v="2025"/>
    <n v="8"/>
    <x v="4"/>
    <n v="17.03"/>
    <n v="21.44"/>
    <n v="79.400000000000006"/>
  </r>
  <r>
    <x v="188"/>
    <n v="2025"/>
    <n v="9"/>
    <x v="4"/>
    <n v="18.02"/>
    <n v="22.32"/>
    <n v="80.7"/>
  </r>
  <r>
    <x v="189"/>
    <n v="2025"/>
    <n v="10"/>
    <x v="4"/>
    <n v="18.809999999999999"/>
    <n v="23.09"/>
    <n v="81.400000000000006"/>
  </r>
  <r>
    <x v="190"/>
    <n v="2025"/>
    <n v="11"/>
    <x v="4"/>
    <n v="20.95"/>
    <n v="24.37"/>
    <n v="86"/>
  </r>
  <r>
    <x v="191"/>
    <n v="2025"/>
    <n v="12"/>
    <x v="4"/>
    <n v="20.58"/>
    <n v="25.06"/>
    <n v="82.1"/>
  </r>
  <r>
    <x v="192"/>
    <n v="2026"/>
    <n v="1"/>
    <x v="4"/>
    <n v="20.67"/>
    <n v="24.54"/>
    <n v="84.2"/>
  </r>
  <r>
    <x v="193"/>
    <n v="2026"/>
    <n v="2"/>
    <x v="4"/>
    <n v="20.440000000000001"/>
    <n v="25.19"/>
    <n v="81.2"/>
  </r>
  <r>
    <x v="194"/>
    <n v="2026"/>
    <n v="3"/>
    <x v="4"/>
    <n v="20.54"/>
    <n v="25.39"/>
    <n v="80.900000000000006"/>
  </r>
  <r>
    <x v="195"/>
    <n v="2026"/>
    <n v="4"/>
    <x v="4"/>
    <n v="18.98"/>
    <n v="24.07"/>
    <n v="78.8"/>
  </r>
  <r>
    <x v="0"/>
    <n v="2010"/>
    <n v="1"/>
    <x v="5"/>
    <n v="4"/>
    <n v="4.66"/>
    <n v="85.9"/>
  </r>
  <r>
    <x v="1"/>
    <n v="2010"/>
    <n v="2"/>
    <x v="5"/>
    <n v="3.93"/>
    <n v="4.63"/>
    <n v="84.9"/>
  </r>
  <r>
    <x v="2"/>
    <n v="2010"/>
    <n v="3"/>
    <x v="5"/>
    <n v="3.86"/>
    <n v="4.68"/>
    <n v="82.5"/>
  </r>
  <r>
    <x v="3"/>
    <n v="2010"/>
    <n v="4"/>
    <x v="5"/>
    <n v="4.1100000000000003"/>
    <n v="5.04"/>
    <n v="81.5"/>
  </r>
  <r>
    <x v="4"/>
    <n v="2010"/>
    <n v="5"/>
    <x v="5"/>
    <n v="4.71"/>
    <n v="5.73"/>
    <n v="82.2"/>
  </r>
  <r>
    <x v="5"/>
    <n v="2010"/>
    <n v="6"/>
    <x v="5"/>
    <n v="4.7699999999999996"/>
    <n v="6"/>
    <n v="79.400000000000006"/>
  </r>
  <r>
    <x v="6"/>
    <n v="2010"/>
    <n v="7"/>
    <x v="5"/>
    <n v="5.04"/>
    <n v="6.07"/>
    <n v="83"/>
  </r>
  <r>
    <x v="7"/>
    <n v="2010"/>
    <n v="8"/>
    <x v="5"/>
    <n v="5.72"/>
    <n v="6.75"/>
    <n v="84.7"/>
  </r>
  <r>
    <x v="8"/>
    <n v="2010"/>
    <n v="9"/>
    <x v="5"/>
    <n v="5.0199999999999996"/>
    <n v="5.91"/>
    <n v="84.8"/>
  </r>
  <r>
    <x v="9"/>
    <n v="2010"/>
    <n v="10"/>
    <x v="5"/>
    <n v="5.22"/>
    <n v="6.62"/>
    <n v="78.900000000000006"/>
  </r>
  <r>
    <x v="10"/>
    <n v="2010"/>
    <n v="11"/>
    <x v="5"/>
    <n v="4.71"/>
    <n v="5.59"/>
    <n v="84.2"/>
  </r>
  <r>
    <x v="11"/>
    <n v="2010"/>
    <n v="12"/>
    <x v="5"/>
    <n v="4.49"/>
    <n v="5.66"/>
    <n v="79.400000000000006"/>
  </r>
  <r>
    <x v="12"/>
    <n v="2011"/>
    <n v="1"/>
    <x v="5"/>
    <n v="4.25"/>
    <n v="5.47"/>
    <n v="77.7"/>
  </r>
  <r>
    <x v="13"/>
    <n v="2011"/>
    <n v="2"/>
    <x v="5"/>
    <n v="4.07"/>
    <n v="4.83"/>
    <n v="84.3"/>
  </r>
  <r>
    <x v="14"/>
    <n v="2011"/>
    <n v="3"/>
    <x v="5"/>
    <n v="4.22"/>
    <n v="5.21"/>
    <n v="81"/>
  </r>
  <r>
    <x v="15"/>
    <n v="2011"/>
    <n v="4"/>
    <x v="5"/>
    <n v="4.63"/>
    <n v="5.52"/>
    <n v="83.9"/>
  </r>
  <r>
    <x v="16"/>
    <n v="2011"/>
    <n v="5"/>
    <x v="5"/>
    <n v="5.0999999999999996"/>
    <n v="6.09"/>
    <n v="83.7"/>
  </r>
  <r>
    <x v="17"/>
    <n v="2011"/>
    <n v="6"/>
    <x v="5"/>
    <n v="5.47"/>
    <n v="6.55"/>
    <n v="83.5"/>
  </r>
  <r>
    <x v="18"/>
    <n v="2011"/>
    <n v="7"/>
    <x v="5"/>
    <n v="5.64"/>
    <n v="6.86"/>
    <n v="82.2"/>
  </r>
  <r>
    <x v="19"/>
    <n v="2011"/>
    <n v="8"/>
    <x v="5"/>
    <n v="5.68"/>
    <n v="7.14"/>
    <n v="79.599999999999994"/>
  </r>
  <r>
    <x v="20"/>
    <n v="2011"/>
    <n v="9"/>
    <x v="5"/>
    <n v="5.49"/>
    <n v="6.74"/>
    <n v="81.400000000000006"/>
  </r>
  <r>
    <x v="21"/>
    <n v="2011"/>
    <n v="10"/>
    <x v="5"/>
    <n v="5.44"/>
    <n v="6.41"/>
    <n v="84.9"/>
  </r>
  <r>
    <x v="22"/>
    <n v="2011"/>
    <n v="11"/>
    <x v="5"/>
    <n v="5.04"/>
    <n v="6"/>
    <n v="84"/>
  </r>
  <r>
    <x v="23"/>
    <n v="2011"/>
    <n v="12"/>
    <x v="5"/>
    <n v="4.8499999999999996"/>
    <n v="5.95"/>
    <n v="81.5"/>
  </r>
  <r>
    <x v="24"/>
    <n v="2012"/>
    <n v="1"/>
    <x v="5"/>
    <n v="4.5199999999999996"/>
    <n v="5.54"/>
    <n v="81.5"/>
  </r>
  <r>
    <x v="25"/>
    <n v="2012"/>
    <n v="2"/>
    <x v="5"/>
    <n v="4.53"/>
    <n v="5.44"/>
    <n v="83.3"/>
  </r>
  <r>
    <x v="26"/>
    <n v="2012"/>
    <n v="3"/>
    <x v="5"/>
    <n v="4.32"/>
    <n v="5.25"/>
    <n v="82.3"/>
  </r>
  <r>
    <x v="27"/>
    <n v="2012"/>
    <n v="4"/>
    <x v="5"/>
    <n v="5.03"/>
    <n v="6.16"/>
    <n v="81.599999999999994"/>
  </r>
  <r>
    <x v="28"/>
    <n v="2012"/>
    <n v="5"/>
    <x v="5"/>
    <n v="5.27"/>
    <n v="6.34"/>
    <n v="83.1"/>
  </r>
  <r>
    <x v="29"/>
    <n v="2012"/>
    <n v="6"/>
    <x v="5"/>
    <n v="5.44"/>
    <n v="6.56"/>
    <n v="83"/>
  </r>
  <r>
    <x v="30"/>
    <n v="2012"/>
    <n v="7"/>
    <x v="5"/>
    <n v="5.69"/>
    <n v="7.05"/>
    <n v="80.7"/>
  </r>
  <r>
    <x v="31"/>
    <n v="2012"/>
    <n v="8"/>
    <x v="5"/>
    <n v="6.27"/>
    <n v="7.57"/>
    <n v="82.7"/>
  </r>
  <r>
    <x v="32"/>
    <n v="2012"/>
    <n v="9"/>
    <x v="5"/>
    <n v="5.93"/>
    <n v="7.16"/>
    <n v="82.9"/>
  </r>
  <r>
    <x v="33"/>
    <n v="2012"/>
    <n v="10"/>
    <x v="5"/>
    <n v="5.71"/>
    <n v="6.97"/>
    <n v="82"/>
  </r>
  <r>
    <x v="34"/>
    <n v="2012"/>
    <n v="11"/>
    <x v="5"/>
    <n v="5.46"/>
    <n v="6.77"/>
    <n v="80.5"/>
  </r>
  <r>
    <x v="35"/>
    <n v="2012"/>
    <n v="12"/>
    <x v="5"/>
    <n v="4.9800000000000004"/>
    <n v="6.12"/>
    <n v="81.400000000000006"/>
  </r>
  <r>
    <x v="36"/>
    <n v="2013"/>
    <n v="1"/>
    <x v="5"/>
    <n v="4.4800000000000004"/>
    <n v="5.59"/>
    <n v="80.2"/>
  </r>
  <r>
    <x v="37"/>
    <n v="2013"/>
    <n v="2"/>
    <x v="5"/>
    <n v="4.83"/>
    <n v="5.84"/>
    <n v="82.8"/>
  </r>
  <r>
    <x v="38"/>
    <n v="2013"/>
    <n v="3"/>
    <x v="5"/>
    <n v="4.5599999999999996"/>
    <n v="5.77"/>
    <n v="78.900000000000006"/>
  </r>
  <r>
    <x v="39"/>
    <n v="2013"/>
    <n v="4"/>
    <x v="5"/>
    <n v="5.05"/>
    <n v="5.93"/>
    <n v="85.1"/>
  </r>
  <r>
    <x v="40"/>
    <n v="2013"/>
    <n v="5"/>
    <x v="5"/>
    <n v="5.47"/>
    <n v="6.46"/>
    <n v="84.6"/>
  </r>
  <r>
    <x v="41"/>
    <n v="2013"/>
    <n v="6"/>
    <x v="5"/>
    <n v="6"/>
    <n v="7.24"/>
    <n v="82.9"/>
  </r>
  <r>
    <x v="42"/>
    <n v="2013"/>
    <n v="7"/>
    <x v="5"/>
    <n v="6.02"/>
    <n v="7.18"/>
    <n v="83.9"/>
  </r>
  <r>
    <x v="43"/>
    <n v="2013"/>
    <n v="8"/>
    <x v="5"/>
    <n v="6.35"/>
    <n v="7.58"/>
    <n v="83.7"/>
  </r>
  <r>
    <x v="44"/>
    <n v="2013"/>
    <n v="9"/>
    <x v="5"/>
    <n v="6.17"/>
    <n v="7.5"/>
    <n v="82.4"/>
  </r>
  <r>
    <x v="45"/>
    <n v="2013"/>
    <n v="10"/>
    <x v="5"/>
    <n v="6.11"/>
    <n v="7.48"/>
    <n v="81.7"/>
  </r>
  <r>
    <x v="46"/>
    <n v="2013"/>
    <n v="11"/>
    <x v="5"/>
    <n v="5.72"/>
    <n v="7.02"/>
    <n v="81.5"/>
  </r>
  <r>
    <x v="47"/>
    <n v="2013"/>
    <n v="12"/>
    <x v="5"/>
    <n v="5.15"/>
    <n v="6.04"/>
    <n v="85.2"/>
  </r>
  <r>
    <x v="48"/>
    <n v="2014"/>
    <n v="1"/>
    <x v="5"/>
    <n v="5.12"/>
    <n v="6.36"/>
    <n v="80.5"/>
  </r>
  <r>
    <x v="49"/>
    <n v="2014"/>
    <n v="2"/>
    <x v="5"/>
    <n v="4.95"/>
    <n v="6.15"/>
    <n v="80.5"/>
  </r>
  <r>
    <x v="50"/>
    <n v="2014"/>
    <n v="3"/>
    <x v="5"/>
    <n v="4.83"/>
    <n v="5.74"/>
    <n v="84.1"/>
  </r>
  <r>
    <x v="51"/>
    <n v="2014"/>
    <n v="4"/>
    <x v="5"/>
    <n v="5.08"/>
    <n v="6.05"/>
    <n v="83.9"/>
  </r>
  <r>
    <x v="52"/>
    <n v="2014"/>
    <n v="5"/>
    <x v="5"/>
    <n v="5.76"/>
    <n v="7.06"/>
    <n v="81.599999999999994"/>
  </r>
  <r>
    <x v="53"/>
    <n v="2014"/>
    <n v="6"/>
    <x v="5"/>
    <n v="6.34"/>
    <n v="7.62"/>
    <n v="83.2"/>
  </r>
  <r>
    <x v="54"/>
    <n v="2014"/>
    <n v="7"/>
    <x v="5"/>
    <n v="6.45"/>
    <n v="7.73"/>
    <n v="83.4"/>
  </r>
  <r>
    <x v="55"/>
    <n v="2014"/>
    <n v="8"/>
    <x v="5"/>
    <n v="6.78"/>
    <n v="8.5299999999999994"/>
    <n v="79.5"/>
  </r>
  <r>
    <x v="56"/>
    <n v="2014"/>
    <n v="9"/>
    <x v="5"/>
    <n v="6.63"/>
    <n v="7.82"/>
    <n v="84.8"/>
  </r>
  <r>
    <x v="57"/>
    <n v="2014"/>
    <n v="10"/>
    <x v="5"/>
    <n v="6.7"/>
    <n v="8.0299999999999994"/>
    <n v="83.4"/>
  </r>
  <r>
    <x v="58"/>
    <n v="2014"/>
    <n v="11"/>
    <x v="5"/>
    <n v="5.74"/>
    <n v="6.92"/>
    <n v="83"/>
  </r>
  <r>
    <x v="59"/>
    <n v="2014"/>
    <n v="12"/>
    <x v="5"/>
    <n v="5.67"/>
    <n v="6.79"/>
    <n v="83.5"/>
  </r>
  <r>
    <x v="60"/>
    <n v="2015"/>
    <n v="1"/>
    <x v="5"/>
    <n v="5.34"/>
    <n v="6.46"/>
    <n v="82.7"/>
  </r>
  <r>
    <x v="61"/>
    <n v="2015"/>
    <n v="2"/>
    <x v="5"/>
    <n v="5.1100000000000003"/>
    <n v="6.32"/>
    <n v="80.8"/>
  </r>
  <r>
    <x v="62"/>
    <n v="2015"/>
    <n v="3"/>
    <x v="5"/>
    <n v="4.97"/>
    <n v="6.01"/>
    <n v="82.7"/>
  </r>
  <r>
    <x v="63"/>
    <n v="2015"/>
    <n v="4"/>
    <x v="5"/>
    <n v="5.64"/>
    <n v="6.78"/>
    <n v="83.1"/>
  </r>
  <r>
    <x v="64"/>
    <n v="2015"/>
    <n v="5"/>
    <x v="5"/>
    <n v="5.84"/>
    <n v="7.02"/>
    <n v="83.3"/>
  </r>
  <r>
    <x v="65"/>
    <n v="2015"/>
    <n v="6"/>
    <x v="5"/>
    <n v="6.98"/>
    <n v="8.49"/>
    <n v="82.2"/>
  </r>
  <r>
    <x v="66"/>
    <n v="2015"/>
    <n v="7"/>
    <x v="5"/>
    <n v="6.91"/>
    <n v="8.36"/>
    <n v="82.6"/>
  </r>
  <r>
    <x v="67"/>
    <n v="2015"/>
    <n v="8"/>
    <x v="5"/>
    <n v="7.51"/>
    <n v="9.4"/>
    <n v="80"/>
  </r>
  <r>
    <x v="68"/>
    <n v="2015"/>
    <n v="9"/>
    <x v="5"/>
    <n v="7.01"/>
    <n v="8.7200000000000006"/>
    <n v="80.400000000000006"/>
  </r>
  <r>
    <x v="69"/>
    <n v="2015"/>
    <n v="10"/>
    <x v="5"/>
    <n v="6.54"/>
    <n v="7.99"/>
    <n v="81.900000000000006"/>
  </r>
  <r>
    <x v="70"/>
    <n v="2015"/>
    <n v="11"/>
    <x v="5"/>
    <n v="6.46"/>
    <n v="7.55"/>
    <n v="85.6"/>
  </r>
  <r>
    <x v="71"/>
    <n v="2015"/>
    <n v="12"/>
    <x v="5"/>
    <n v="5.84"/>
    <n v="7.19"/>
    <n v="81.2"/>
  </r>
  <r>
    <x v="72"/>
    <n v="2016"/>
    <n v="1"/>
    <x v="5"/>
    <n v="5.86"/>
    <n v="7.22"/>
    <n v="81.099999999999994"/>
  </r>
  <r>
    <x v="73"/>
    <n v="2016"/>
    <n v="2"/>
    <x v="5"/>
    <n v="5.24"/>
    <n v="6.68"/>
    <n v="78.5"/>
  </r>
  <r>
    <x v="74"/>
    <n v="2016"/>
    <n v="3"/>
    <x v="5"/>
    <n v="5.71"/>
    <n v="6.8"/>
    <n v="83.9"/>
  </r>
  <r>
    <x v="75"/>
    <n v="2016"/>
    <n v="4"/>
    <x v="5"/>
    <n v="6.28"/>
    <n v="7.93"/>
    <n v="79.2"/>
  </r>
  <r>
    <x v="76"/>
    <n v="2016"/>
    <n v="5"/>
    <x v="5"/>
    <n v="6.62"/>
    <n v="8.06"/>
    <n v="82.1"/>
  </r>
  <r>
    <x v="77"/>
    <n v="2016"/>
    <n v="6"/>
    <x v="5"/>
    <n v="7"/>
    <n v="8.89"/>
    <n v="78.7"/>
  </r>
  <r>
    <x v="78"/>
    <n v="2016"/>
    <n v="7"/>
    <x v="5"/>
    <n v="7.53"/>
    <n v="9.01"/>
    <n v="83.6"/>
  </r>
  <r>
    <x v="79"/>
    <n v="2016"/>
    <n v="8"/>
    <x v="5"/>
    <n v="7.35"/>
    <n v="8.82"/>
    <n v="83.3"/>
  </r>
  <r>
    <x v="80"/>
    <n v="2016"/>
    <n v="9"/>
    <x v="5"/>
    <n v="7.09"/>
    <n v="8.76"/>
    <n v="80.8"/>
  </r>
  <r>
    <x v="81"/>
    <n v="2016"/>
    <n v="10"/>
    <x v="5"/>
    <n v="6.82"/>
    <n v="8.7200000000000006"/>
    <n v="78.3"/>
  </r>
  <r>
    <x v="82"/>
    <n v="2016"/>
    <n v="11"/>
    <x v="5"/>
    <n v="6.63"/>
    <n v="7.85"/>
    <n v="84.4"/>
  </r>
  <r>
    <x v="83"/>
    <n v="2016"/>
    <n v="12"/>
    <x v="5"/>
    <n v="5.87"/>
    <n v="7.1"/>
    <n v="82.7"/>
  </r>
  <r>
    <x v="84"/>
    <n v="2017"/>
    <n v="1"/>
    <x v="5"/>
    <n v="5.61"/>
    <n v="6.79"/>
    <n v="82.7"/>
  </r>
  <r>
    <x v="85"/>
    <n v="2017"/>
    <n v="2"/>
    <x v="5"/>
    <n v="5.44"/>
    <n v="6.78"/>
    <n v="80.2"/>
  </r>
  <r>
    <x v="86"/>
    <n v="2017"/>
    <n v="3"/>
    <x v="5"/>
    <n v="5.87"/>
    <n v="7.18"/>
    <n v="81.900000000000006"/>
  </r>
  <r>
    <x v="87"/>
    <n v="2017"/>
    <n v="4"/>
    <x v="5"/>
    <n v="6.45"/>
    <n v="7.86"/>
    <n v="82.1"/>
  </r>
  <r>
    <x v="88"/>
    <n v="2017"/>
    <n v="5"/>
    <x v="5"/>
    <n v="6.4"/>
    <n v="7.58"/>
    <n v="84.5"/>
  </r>
  <r>
    <x v="89"/>
    <n v="2017"/>
    <n v="6"/>
    <x v="5"/>
    <n v="7.24"/>
    <n v="8.67"/>
    <n v="83.5"/>
  </r>
  <r>
    <x v="90"/>
    <n v="2017"/>
    <n v="7"/>
    <x v="5"/>
    <n v="7.76"/>
    <n v="9.61"/>
    <n v="80.7"/>
  </r>
  <r>
    <x v="91"/>
    <n v="2017"/>
    <n v="8"/>
    <x v="5"/>
    <n v="7.61"/>
    <n v="9.32"/>
    <n v="81.7"/>
  </r>
  <r>
    <x v="92"/>
    <n v="2017"/>
    <n v="9"/>
    <x v="5"/>
    <n v="7.25"/>
    <n v="8.89"/>
    <n v="81.5"/>
  </r>
  <r>
    <x v="93"/>
    <n v="2017"/>
    <n v="10"/>
    <x v="5"/>
    <n v="7.48"/>
    <n v="9.07"/>
    <n v="82.5"/>
  </r>
  <r>
    <x v="94"/>
    <n v="2017"/>
    <n v="11"/>
    <x v="5"/>
    <n v="6.44"/>
    <n v="8.17"/>
    <n v="78.900000000000006"/>
  </r>
  <r>
    <x v="95"/>
    <n v="2017"/>
    <n v="12"/>
    <x v="5"/>
    <n v="6.54"/>
    <n v="8"/>
    <n v="81.8"/>
  </r>
  <r>
    <x v="96"/>
    <n v="2018"/>
    <n v="1"/>
    <x v="5"/>
    <n v="5.76"/>
    <n v="7.07"/>
    <n v="81.5"/>
  </r>
  <r>
    <x v="97"/>
    <n v="2018"/>
    <n v="2"/>
    <x v="5"/>
    <n v="5.51"/>
    <n v="6.49"/>
    <n v="84.8"/>
  </r>
  <r>
    <x v="98"/>
    <n v="2018"/>
    <n v="3"/>
    <x v="5"/>
    <n v="5.84"/>
    <n v="6.89"/>
    <n v="84.7"/>
  </r>
  <r>
    <x v="99"/>
    <n v="2018"/>
    <n v="4"/>
    <x v="5"/>
    <n v="6.31"/>
    <n v="7.44"/>
    <n v="84.9"/>
  </r>
  <r>
    <x v="100"/>
    <n v="2018"/>
    <n v="5"/>
    <x v="5"/>
    <n v="6.89"/>
    <n v="8.23"/>
    <n v="83.7"/>
  </r>
  <r>
    <x v="101"/>
    <n v="2018"/>
    <n v="6"/>
    <x v="5"/>
    <n v="7.53"/>
    <n v="9.0399999999999991"/>
    <n v="83.2"/>
  </r>
  <r>
    <x v="102"/>
    <n v="2018"/>
    <n v="7"/>
    <x v="5"/>
    <n v="7.85"/>
    <n v="9.6300000000000008"/>
    <n v="81.5"/>
  </r>
  <r>
    <x v="103"/>
    <n v="2018"/>
    <n v="8"/>
    <x v="5"/>
    <n v="8.4"/>
    <n v="10.47"/>
    <n v="80.2"/>
  </r>
  <r>
    <x v="104"/>
    <n v="2018"/>
    <n v="9"/>
    <x v="5"/>
    <n v="7.82"/>
    <n v="9.5299999999999994"/>
    <n v="82"/>
  </r>
  <r>
    <x v="105"/>
    <n v="2018"/>
    <n v="10"/>
    <x v="5"/>
    <n v="7.55"/>
    <n v="9.3000000000000007"/>
    <n v="81.099999999999994"/>
  </r>
  <r>
    <x v="106"/>
    <n v="2018"/>
    <n v="11"/>
    <x v="5"/>
    <n v="7.02"/>
    <n v="8.6"/>
    <n v="81.7"/>
  </r>
  <r>
    <x v="107"/>
    <n v="2018"/>
    <n v="12"/>
    <x v="5"/>
    <n v="6.16"/>
    <n v="7.51"/>
    <n v="82"/>
  </r>
  <r>
    <x v="108"/>
    <n v="2019"/>
    <n v="1"/>
    <x v="5"/>
    <n v="5.89"/>
    <n v="7.5"/>
    <n v="78.5"/>
  </r>
  <r>
    <x v="109"/>
    <n v="2019"/>
    <n v="2"/>
    <x v="5"/>
    <n v="5.65"/>
    <n v="6.81"/>
    <n v="83"/>
  </r>
  <r>
    <x v="110"/>
    <n v="2019"/>
    <n v="3"/>
    <x v="5"/>
    <n v="5.52"/>
    <n v="6.65"/>
    <n v="83.1"/>
  </r>
  <r>
    <x v="111"/>
    <n v="2019"/>
    <n v="4"/>
    <x v="5"/>
    <n v="5.13"/>
    <n v="6.47"/>
    <n v="79.3"/>
  </r>
  <r>
    <x v="112"/>
    <n v="2019"/>
    <n v="5"/>
    <x v="5"/>
    <n v="5.84"/>
    <n v="7.3"/>
    <n v="79.900000000000006"/>
  </r>
  <r>
    <x v="113"/>
    <n v="2019"/>
    <n v="6"/>
    <x v="5"/>
    <n v="5.61"/>
    <n v="6.96"/>
    <n v="80.599999999999994"/>
  </r>
  <r>
    <x v="114"/>
    <n v="2019"/>
    <n v="7"/>
    <x v="5"/>
    <n v="5.38"/>
    <n v="6.66"/>
    <n v="80.7"/>
  </r>
  <r>
    <x v="115"/>
    <n v="2019"/>
    <n v="8"/>
    <x v="5"/>
    <n v="5.12"/>
    <n v="6.22"/>
    <n v="82.3"/>
  </r>
  <r>
    <x v="116"/>
    <n v="2019"/>
    <n v="9"/>
    <x v="5"/>
    <n v="4.46"/>
    <n v="5.58"/>
    <n v="79.900000000000006"/>
  </r>
  <r>
    <x v="117"/>
    <n v="2019"/>
    <n v="10"/>
    <x v="5"/>
    <n v="3.93"/>
    <n v="4.9400000000000004"/>
    <n v="79.599999999999994"/>
  </r>
  <r>
    <x v="118"/>
    <n v="2019"/>
    <n v="11"/>
    <x v="5"/>
    <n v="3.29"/>
    <n v="3.77"/>
    <n v="87.3"/>
  </r>
  <r>
    <x v="119"/>
    <n v="2019"/>
    <n v="12"/>
    <x v="5"/>
    <n v="2.77"/>
    <n v="3.32"/>
    <n v="83.4"/>
  </r>
  <r>
    <x v="120"/>
    <n v="2020"/>
    <n v="1"/>
    <x v="5"/>
    <n v="2.17"/>
    <n v="2.78"/>
    <n v="78.099999999999994"/>
  </r>
  <r>
    <x v="121"/>
    <n v="2020"/>
    <n v="2"/>
    <x v="5"/>
    <n v="2.13"/>
    <n v="2.52"/>
    <n v="84.6"/>
  </r>
  <r>
    <x v="122"/>
    <n v="2020"/>
    <n v="3"/>
    <x v="5"/>
    <n v="0.5"/>
    <n v="0.91"/>
    <n v="55"/>
  </r>
  <r>
    <x v="123"/>
    <n v="2020"/>
    <n v="4"/>
    <x v="5"/>
    <n v="0.5"/>
    <n v="0.91"/>
    <n v="55"/>
  </r>
  <r>
    <x v="124"/>
    <n v="2020"/>
    <n v="5"/>
    <x v="5"/>
    <n v="0.5"/>
    <n v="0.91"/>
    <n v="55"/>
  </r>
  <r>
    <x v="125"/>
    <n v="2020"/>
    <n v="6"/>
    <x v="5"/>
    <n v="0.5"/>
    <n v="0.91"/>
    <n v="55"/>
  </r>
  <r>
    <x v="126"/>
    <n v="2020"/>
    <n v="7"/>
    <x v="5"/>
    <n v="3.45"/>
    <n v="6.27"/>
    <n v="55"/>
  </r>
  <r>
    <x v="127"/>
    <n v="2020"/>
    <n v="8"/>
    <x v="5"/>
    <n v="1.29"/>
    <n v="2.35"/>
    <n v="55"/>
  </r>
  <r>
    <x v="128"/>
    <n v="2020"/>
    <n v="9"/>
    <x v="5"/>
    <n v="1.34"/>
    <n v="2.44"/>
    <n v="55"/>
  </r>
  <r>
    <x v="129"/>
    <n v="2020"/>
    <n v="10"/>
    <x v="5"/>
    <n v="1.28"/>
    <n v="2.33"/>
    <n v="55"/>
  </r>
  <r>
    <x v="130"/>
    <n v="2020"/>
    <n v="11"/>
    <x v="5"/>
    <n v="1.26"/>
    <n v="2.2999999999999998"/>
    <n v="55"/>
  </r>
  <r>
    <x v="131"/>
    <n v="2020"/>
    <n v="12"/>
    <x v="5"/>
    <n v="1.18"/>
    <n v="2.15"/>
    <n v="55"/>
  </r>
  <r>
    <x v="132"/>
    <n v="2021"/>
    <n v="1"/>
    <x v="5"/>
    <n v="3.18"/>
    <n v="3.81"/>
    <n v="83.5"/>
  </r>
  <r>
    <x v="133"/>
    <n v="2021"/>
    <n v="2"/>
    <x v="5"/>
    <n v="1.49"/>
    <n v="1.8"/>
    <n v="82.9"/>
  </r>
  <r>
    <x v="134"/>
    <n v="2021"/>
    <n v="3"/>
    <x v="5"/>
    <n v="1.56"/>
    <n v="1.9"/>
    <n v="82.1"/>
  </r>
  <r>
    <x v="135"/>
    <n v="2021"/>
    <n v="4"/>
    <x v="5"/>
    <n v="1.73"/>
    <n v="2.06"/>
    <n v="83.9"/>
  </r>
  <r>
    <x v="136"/>
    <n v="2021"/>
    <n v="5"/>
    <x v="5"/>
    <n v="1.93"/>
    <n v="2.36"/>
    <n v="81.8"/>
  </r>
  <r>
    <x v="137"/>
    <n v="2021"/>
    <n v="6"/>
    <x v="5"/>
    <n v="2.15"/>
    <n v="2.61"/>
    <n v="82.5"/>
  </r>
  <r>
    <x v="138"/>
    <n v="2021"/>
    <n v="7"/>
    <x v="5"/>
    <n v="5.04"/>
    <n v="6.1"/>
    <n v="82.6"/>
  </r>
  <r>
    <x v="139"/>
    <n v="2021"/>
    <n v="8"/>
    <x v="5"/>
    <n v="3.37"/>
    <n v="4.1900000000000004"/>
    <n v="80.5"/>
  </r>
  <r>
    <x v="140"/>
    <n v="2021"/>
    <n v="9"/>
    <x v="5"/>
    <n v="3.44"/>
    <n v="3.92"/>
    <n v="87.7"/>
  </r>
  <r>
    <x v="141"/>
    <n v="2021"/>
    <n v="10"/>
    <x v="5"/>
    <n v="3.24"/>
    <n v="3.94"/>
    <n v="82.1"/>
  </r>
  <r>
    <x v="142"/>
    <n v="2021"/>
    <n v="11"/>
    <x v="5"/>
    <n v="3.07"/>
    <n v="3.79"/>
    <n v="81"/>
  </r>
  <r>
    <x v="143"/>
    <n v="2021"/>
    <n v="12"/>
    <x v="5"/>
    <n v="3.08"/>
    <n v="3.82"/>
    <n v="80.7"/>
  </r>
  <r>
    <x v="144"/>
    <n v="2022"/>
    <n v="1"/>
    <x v="5"/>
    <n v="4.29"/>
    <n v="5.44"/>
    <n v="78.8"/>
  </r>
  <r>
    <x v="145"/>
    <n v="2022"/>
    <n v="2"/>
    <x v="5"/>
    <n v="4.22"/>
    <n v="5.37"/>
    <n v="78.599999999999994"/>
  </r>
  <r>
    <x v="146"/>
    <n v="2022"/>
    <n v="3"/>
    <x v="5"/>
    <n v="4.58"/>
    <n v="5.23"/>
    <n v="87.6"/>
  </r>
  <r>
    <x v="147"/>
    <n v="2022"/>
    <n v="4"/>
    <x v="5"/>
    <n v="4.8"/>
    <n v="6.11"/>
    <n v="78.7"/>
  </r>
  <r>
    <x v="148"/>
    <n v="2022"/>
    <n v="5"/>
    <x v="5"/>
    <n v="5.48"/>
    <n v="6.8"/>
    <n v="80.5"/>
  </r>
  <r>
    <x v="149"/>
    <n v="2022"/>
    <n v="6"/>
    <x v="5"/>
    <n v="6.05"/>
    <n v="7.43"/>
    <n v="81.400000000000006"/>
  </r>
  <r>
    <x v="150"/>
    <n v="2022"/>
    <n v="7"/>
    <x v="5"/>
    <n v="6.1"/>
    <n v="7.47"/>
    <n v="81.599999999999994"/>
  </r>
  <r>
    <x v="151"/>
    <n v="2022"/>
    <n v="8"/>
    <x v="5"/>
    <n v="6.57"/>
    <n v="8.06"/>
    <n v="81.5"/>
  </r>
  <r>
    <x v="152"/>
    <n v="2022"/>
    <n v="9"/>
    <x v="5"/>
    <n v="6.31"/>
    <n v="7.73"/>
    <n v="81.599999999999994"/>
  </r>
  <r>
    <x v="153"/>
    <n v="2022"/>
    <n v="10"/>
    <x v="5"/>
    <n v="5.95"/>
    <n v="7.19"/>
    <n v="82.8"/>
  </r>
  <r>
    <x v="154"/>
    <n v="2022"/>
    <n v="11"/>
    <x v="5"/>
    <n v="5.53"/>
    <n v="6.82"/>
    <n v="81.099999999999994"/>
  </r>
  <r>
    <x v="155"/>
    <n v="2022"/>
    <n v="12"/>
    <x v="5"/>
    <n v="5.6"/>
    <n v="6.78"/>
    <n v="82.6"/>
  </r>
  <r>
    <x v="156"/>
    <n v="2023"/>
    <n v="1"/>
    <x v="5"/>
    <n v="5.31"/>
    <n v="6.49"/>
    <n v="81.900000000000006"/>
  </r>
  <r>
    <x v="157"/>
    <n v="2023"/>
    <n v="2"/>
    <x v="5"/>
    <n v="5.36"/>
    <n v="6.39"/>
    <n v="83.8"/>
  </r>
  <r>
    <x v="158"/>
    <n v="2023"/>
    <n v="3"/>
    <x v="5"/>
    <n v="5.44"/>
    <n v="6.48"/>
    <n v="83.9"/>
  </r>
  <r>
    <x v="159"/>
    <n v="2023"/>
    <n v="4"/>
    <x v="5"/>
    <n v="5.91"/>
    <n v="7.29"/>
    <n v="81.099999999999994"/>
  </r>
  <r>
    <x v="160"/>
    <n v="2023"/>
    <n v="5"/>
    <x v="5"/>
    <n v="6.08"/>
    <n v="7.34"/>
    <n v="82.8"/>
  </r>
  <r>
    <x v="161"/>
    <n v="2023"/>
    <n v="6"/>
    <x v="5"/>
    <n v="7.01"/>
    <n v="8.33"/>
    <n v="84.2"/>
  </r>
  <r>
    <x v="162"/>
    <n v="2023"/>
    <n v="7"/>
    <x v="5"/>
    <n v="7.14"/>
    <n v="8.91"/>
    <n v="80.2"/>
  </r>
  <r>
    <x v="163"/>
    <n v="2023"/>
    <n v="8"/>
    <x v="5"/>
    <n v="7.68"/>
    <n v="9.3800000000000008"/>
    <n v="81.900000000000006"/>
  </r>
  <r>
    <x v="164"/>
    <n v="2023"/>
    <n v="9"/>
    <x v="5"/>
    <n v="7.12"/>
    <n v="8.6"/>
    <n v="82.8"/>
  </r>
  <r>
    <x v="165"/>
    <n v="2023"/>
    <n v="10"/>
    <x v="5"/>
    <n v="6.86"/>
    <n v="8.57"/>
    <n v="80.099999999999994"/>
  </r>
  <r>
    <x v="166"/>
    <n v="2023"/>
    <n v="11"/>
    <x v="5"/>
    <n v="7.12"/>
    <n v="8.31"/>
    <n v="85.6"/>
  </r>
  <r>
    <x v="167"/>
    <n v="2023"/>
    <n v="12"/>
    <x v="5"/>
    <n v="6.17"/>
    <n v="7.58"/>
    <n v="81.3"/>
  </r>
  <r>
    <x v="168"/>
    <n v="2024"/>
    <n v="1"/>
    <x v="5"/>
    <n v="6.1"/>
    <n v="7.13"/>
    <n v="85.6"/>
  </r>
  <r>
    <x v="169"/>
    <n v="2024"/>
    <n v="2"/>
    <x v="5"/>
    <n v="5.9"/>
    <n v="7.28"/>
    <n v="81"/>
  </r>
  <r>
    <x v="170"/>
    <n v="2024"/>
    <n v="3"/>
    <x v="5"/>
    <n v="6.46"/>
    <n v="7.95"/>
    <n v="81.3"/>
  </r>
  <r>
    <x v="171"/>
    <n v="2024"/>
    <n v="4"/>
    <x v="5"/>
    <n v="6.73"/>
    <n v="8.52"/>
    <n v="79"/>
  </r>
  <r>
    <x v="172"/>
    <n v="2024"/>
    <n v="5"/>
    <x v="5"/>
    <n v="7.13"/>
    <n v="9.06"/>
    <n v="78.7"/>
  </r>
  <r>
    <x v="173"/>
    <n v="2024"/>
    <n v="6"/>
    <x v="5"/>
    <n v="7.51"/>
    <n v="8.9700000000000006"/>
    <n v="83.7"/>
  </r>
  <r>
    <x v="174"/>
    <n v="2024"/>
    <n v="7"/>
    <x v="5"/>
    <n v="8.18"/>
    <n v="10.050000000000001"/>
    <n v="81.400000000000006"/>
  </r>
  <r>
    <x v="175"/>
    <n v="2024"/>
    <n v="8"/>
    <x v="5"/>
    <n v="8.1999999999999993"/>
    <n v="10.050000000000001"/>
    <n v="81.599999999999994"/>
  </r>
  <r>
    <x v="176"/>
    <n v="2024"/>
    <n v="9"/>
    <x v="5"/>
    <n v="8.36"/>
    <n v="9.9600000000000009"/>
    <n v="84"/>
  </r>
  <r>
    <x v="177"/>
    <n v="2024"/>
    <n v="10"/>
    <x v="5"/>
    <n v="7.33"/>
    <n v="9.1199999999999992"/>
    <n v="80.3"/>
  </r>
  <r>
    <x v="178"/>
    <n v="2024"/>
    <n v="11"/>
    <x v="5"/>
    <n v="7.45"/>
    <n v="9.11"/>
    <n v="81.8"/>
  </r>
  <r>
    <x v="179"/>
    <n v="2024"/>
    <n v="12"/>
    <x v="5"/>
    <n v="6.98"/>
    <n v="8.4600000000000009"/>
    <n v="82.5"/>
  </r>
  <r>
    <x v="180"/>
    <n v="2025"/>
    <n v="1"/>
    <x v="5"/>
    <n v="6.47"/>
    <n v="7.99"/>
    <n v="80.900000000000006"/>
  </r>
  <r>
    <x v="181"/>
    <n v="2025"/>
    <n v="2"/>
    <x v="5"/>
    <n v="6.36"/>
    <n v="7.55"/>
    <n v="84.3"/>
  </r>
  <r>
    <x v="182"/>
    <n v="2025"/>
    <n v="3"/>
    <x v="5"/>
    <n v="6.45"/>
    <n v="7.88"/>
    <n v="81.900000000000006"/>
  </r>
  <r>
    <x v="183"/>
    <n v="2025"/>
    <n v="4"/>
    <x v="5"/>
    <n v="7.09"/>
    <n v="8.33"/>
    <n v="85.1"/>
  </r>
  <r>
    <x v="184"/>
    <n v="2025"/>
    <n v="5"/>
    <x v="5"/>
    <n v="7.6"/>
    <n v="9.0500000000000007"/>
    <n v="83.9"/>
  </r>
  <r>
    <x v="185"/>
    <n v="2025"/>
    <n v="6"/>
    <x v="5"/>
    <n v="8.6"/>
    <n v="10.5"/>
    <n v="81.900000000000006"/>
  </r>
  <r>
    <x v="186"/>
    <n v="2025"/>
    <n v="7"/>
    <x v="5"/>
    <n v="8.6999999999999993"/>
    <n v="10.7"/>
    <n v="81.3"/>
  </r>
  <r>
    <x v="187"/>
    <n v="2025"/>
    <n v="8"/>
    <x v="5"/>
    <n v="8.89"/>
    <n v="10.62"/>
    <n v="83.7"/>
  </r>
  <r>
    <x v="188"/>
    <n v="2025"/>
    <n v="9"/>
    <x v="5"/>
    <n v="8.91"/>
    <n v="10.81"/>
    <n v="82.5"/>
  </r>
  <r>
    <x v="189"/>
    <n v="2025"/>
    <n v="10"/>
    <x v="5"/>
    <n v="8.18"/>
    <n v="10.220000000000001"/>
    <n v="80.099999999999994"/>
  </r>
  <r>
    <x v="190"/>
    <n v="2025"/>
    <n v="11"/>
    <x v="5"/>
    <n v="8.44"/>
    <n v="10.34"/>
    <n v="81.599999999999994"/>
  </r>
  <r>
    <x v="191"/>
    <n v="2025"/>
    <n v="12"/>
    <x v="5"/>
    <n v="7.19"/>
    <n v="8.48"/>
    <n v="84.9"/>
  </r>
  <r>
    <x v="192"/>
    <n v="2026"/>
    <n v="1"/>
    <x v="5"/>
    <n v="7.02"/>
    <n v="8.44"/>
    <n v="83.2"/>
  </r>
  <r>
    <x v="193"/>
    <n v="2026"/>
    <n v="2"/>
    <x v="5"/>
    <n v="6.77"/>
    <n v="8.32"/>
    <n v="81.400000000000006"/>
  </r>
  <r>
    <x v="194"/>
    <n v="2026"/>
    <n v="3"/>
    <x v="5"/>
    <n v="6.93"/>
    <n v="8.74"/>
    <n v="79.2"/>
  </r>
  <r>
    <x v="195"/>
    <n v="2026"/>
    <n v="4"/>
    <x v="5"/>
    <n v="7.38"/>
    <n v="8.94"/>
    <n v="82.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x v="0"/>
    <x v="0"/>
    <n v="452"/>
    <n v="452"/>
    <n v="401"/>
    <n v="2440"/>
    <n v="0"/>
    <n v="1"/>
    <n v="0"/>
  </r>
  <r>
    <x v="0"/>
    <x v="0"/>
    <x v="1"/>
    <n v="122"/>
    <n v="122"/>
    <n v="109"/>
    <n v="776"/>
    <n v="1"/>
    <n v="0"/>
    <n v="0"/>
  </r>
  <r>
    <x v="0"/>
    <x v="1"/>
    <x v="2"/>
    <n v="506"/>
    <n v="506"/>
    <n v="376"/>
    <n v="2079"/>
    <n v="0"/>
    <n v="1"/>
    <n v="0"/>
  </r>
  <r>
    <x v="0"/>
    <x v="1"/>
    <x v="3"/>
    <n v="24"/>
    <n v="24"/>
    <n v="86"/>
    <n v="1057"/>
    <n v="1"/>
    <n v="0"/>
    <n v="0"/>
  </r>
  <r>
    <x v="1"/>
    <x v="0"/>
    <x v="0"/>
    <n v="719"/>
    <n v="719"/>
    <n v="431"/>
    <n v="3061"/>
    <n v="0"/>
    <n v="1"/>
    <n v="0"/>
  </r>
  <r>
    <x v="1"/>
    <x v="0"/>
    <x v="1"/>
    <n v="203"/>
    <n v="203"/>
    <n v="117"/>
    <n v="895"/>
    <n v="1"/>
    <n v="0"/>
    <n v="0"/>
  </r>
  <r>
    <x v="1"/>
    <x v="1"/>
    <x v="2"/>
    <n v="740"/>
    <n v="740"/>
    <n v="397"/>
    <n v="2612"/>
    <n v="0"/>
    <n v="1"/>
    <n v="0"/>
  </r>
  <r>
    <x v="1"/>
    <x v="1"/>
    <x v="3"/>
    <n v="123"/>
    <n v="123"/>
    <n v="126"/>
    <n v="1162"/>
    <n v="1"/>
    <n v="0"/>
    <n v="0"/>
  </r>
  <r>
    <x v="2"/>
    <x v="0"/>
    <x v="0"/>
    <n v="986"/>
    <n v="986"/>
    <n v="462"/>
    <n v="3682"/>
    <n v="0"/>
    <n v="1"/>
    <n v="0"/>
  </r>
  <r>
    <x v="2"/>
    <x v="0"/>
    <x v="1"/>
    <n v="284"/>
    <n v="284"/>
    <n v="125"/>
    <n v="1014"/>
    <n v="1"/>
    <n v="0"/>
    <n v="0"/>
  </r>
  <r>
    <x v="2"/>
    <x v="1"/>
    <x v="2"/>
    <n v="974"/>
    <n v="974"/>
    <n v="418"/>
    <n v="3146"/>
    <n v="0"/>
    <n v="1"/>
    <n v="0"/>
  </r>
  <r>
    <x v="2"/>
    <x v="1"/>
    <x v="3"/>
    <n v="223"/>
    <n v="223"/>
    <n v="167"/>
    <n v="1267"/>
    <n v="1"/>
    <n v="0"/>
    <n v="0"/>
  </r>
  <r>
    <x v="3"/>
    <x v="0"/>
    <x v="0"/>
    <n v="1253"/>
    <n v="1253"/>
    <n v="493"/>
    <n v="4304"/>
    <n v="0"/>
    <n v="1"/>
    <n v="0"/>
  </r>
  <r>
    <x v="3"/>
    <x v="0"/>
    <x v="1"/>
    <n v="366"/>
    <n v="366"/>
    <n v="133"/>
    <n v="1133"/>
    <n v="1"/>
    <n v="0"/>
    <n v="0"/>
  </r>
  <r>
    <x v="3"/>
    <x v="1"/>
    <x v="2"/>
    <n v="1208"/>
    <n v="1208"/>
    <n v="440"/>
    <n v="3680"/>
    <n v="0"/>
    <n v="1"/>
    <n v="0"/>
  </r>
  <r>
    <x v="3"/>
    <x v="1"/>
    <x v="3"/>
    <n v="323"/>
    <n v="323"/>
    <n v="208"/>
    <n v="1373"/>
    <n v="1"/>
    <n v="0"/>
    <n v="0"/>
  </r>
  <r>
    <x v="4"/>
    <x v="0"/>
    <x v="0"/>
    <n v="1075"/>
    <n v="1075"/>
    <n v="492"/>
    <n v="4924"/>
    <n v="0"/>
    <n v="1"/>
    <n v="0"/>
  </r>
  <r>
    <x v="4"/>
    <x v="0"/>
    <x v="1"/>
    <n v="252"/>
    <n v="252"/>
    <n v="138"/>
    <n v="1247"/>
    <n v="1"/>
    <n v="0"/>
    <n v="0"/>
  </r>
  <r>
    <x v="4"/>
    <x v="1"/>
    <x v="2"/>
    <n v="898"/>
    <n v="898"/>
    <n v="467"/>
    <n v="4036"/>
    <n v="0"/>
    <n v="1"/>
    <n v="0"/>
  </r>
  <r>
    <x v="4"/>
    <x v="1"/>
    <x v="3"/>
    <n v="251"/>
    <n v="251"/>
    <n v="238"/>
    <n v="1384"/>
    <n v="1"/>
    <n v="0"/>
    <n v="0"/>
  </r>
  <r>
    <x v="5"/>
    <x v="0"/>
    <x v="0"/>
    <n v="897"/>
    <n v="897"/>
    <n v="491"/>
    <n v="5545"/>
    <n v="0"/>
    <n v="1"/>
    <n v="0"/>
  </r>
  <r>
    <x v="5"/>
    <x v="0"/>
    <x v="1"/>
    <n v="139"/>
    <n v="139"/>
    <n v="144"/>
    <n v="1361"/>
    <n v="1"/>
    <n v="0"/>
    <n v="0"/>
  </r>
  <r>
    <x v="5"/>
    <x v="1"/>
    <x v="2"/>
    <n v="588"/>
    <n v="588"/>
    <n v="495"/>
    <n v="4392"/>
    <n v="0"/>
    <n v="1"/>
    <n v="0"/>
  </r>
  <r>
    <x v="5"/>
    <x v="1"/>
    <x v="3"/>
    <n v="180"/>
    <n v="180"/>
    <n v="268"/>
    <n v="1395"/>
    <n v="1"/>
    <n v="0"/>
    <n v="0"/>
  </r>
  <r>
    <x v="6"/>
    <x v="0"/>
    <x v="0"/>
    <n v="975"/>
    <n v="975"/>
    <n v="524"/>
    <n v="5688"/>
    <n v="0"/>
    <n v="1"/>
    <n v="0"/>
  </r>
  <r>
    <x v="6"/>
    <x v="0"/>
    <x v="1"/>
    <n v="106"/>
    <n v="106"/>
    <n v="131"/>
    <n v="1317"/>
    <n v="1"/>
    <n v="0"/>
    <n v="0"/>
  </r>
  <r>
    <x v="6"/>
    <x v="1"/>
    <x v="2"/>
    <n v="666"/>
    <n v="666"/>
    <n v="512"/>
    <n v="4530"/>
    <n v="0"/>
    <n v="1"/>
    <n v="0"/>
  </r>
  <r>
    <x v="6"/>
    <x v="1"/>
    <x v="3"/>
    <n v="173"/>
    <n v="173"/>
    <n v="251"/>
    <n v="1407"/>
    <n v="1"/>
    <n v="0"/>
    <n v="0"/>
  </r>
  <r>
    <x v="7"/>
    <x v="0"/>
    <x v="0"/>
    <n v="1054"/>
    <n v="1054"/>
    <n v="558"/>
    <n v="5832"/>
    <n v="0"/>
    <n v="1"/>
    <n v="0"/>
  </r>
  <r>
    <x v="7"/>
    <x v="0"/>
    <x v="1"/>
    <n v="73"/>
    <n v="73"/>
    <n v="119"/>
    <n v="1273"/>
    <n v="1"/>
    <n v="0"/>
    <n v="0"/>
  </r>
  <r>
    <x v="7"/>
    <x v="1"/>
    <x v="2"/>
    <n v="745"/>
    <n v="745"/>
    <n v="529"/>
    <n v="4668"/>
    <n v="0"/>
    <n v="1"/>
    <n v="0"/>
  </r>
  <r>
    <x v="7"/>
    <x v="1"/>
    <x v="3"/>
    <n v="167"/>
    <n v="167"/>
    <n v="234"/>
    <n v="1419"/>
    <n v="1"/>
    <n v="0"/>
    <n v="0"/>
  </r>
  <r>
    <x v="8"/>
    <x v="0"/>
    <x v="0"/>
    <n v="626"/>
    <n v="626"/>
    <n v="626"/>
    <n v="5832"/>
    <n v="0"/>
    <n v="1"/>
    <n v="0"/>
  </r>
  <r>
    <x v="8"/>
    <x v="0"/>
    <x v="1"/>
    <n v="122"/>
    <n v="122"/>
    <n v="174"/>
    <n v="1224"/>
    <n v="1"/>
    <n v="0"/>
    <n v="0"/>
  </r>
  <r>
    <x v="8"/>
    <x v="1"/>
    <x v="2"/>
    <n v="675"/>
    <n v="675"/>
    <n v="580"/>
    <n v="4763"/>
    <n v="0"/>
    <n v="1"/>
    <n v="0"/>
  </r>
  <r>
    <x v="8"/>
    <x v="1"/>
    <x v="3"/>
    <n v="218"/>
    <n v="218"/>
    <n v="226"/>
    <n v="1466"/>
    <n v="1"/>
    <n v="0"/>
    <n v="0"/>
  </r>
  <r>
    <x v="8"/>
    <x v="2"/>
    <x v="4"/>
    <n v="24"/>
    <n v="24"/>
    <n v="0"/>
    <n v="815"/>
    <n v="0"/>
    <n v="1"/>
    <n v="0"/>
  </r>
  <r>
    <x v="8"/>
    <x v="3"/>
    <x v="5"/>
    <n v="89"/>
    <n v="89"/>
    <n v="90"/>
    <n v="414"/>
    <n v="0"/>
    <n v="0"/>
    <n v="1"/>
  </r>
  <r>
    <x v="9"/>
    <x v="0"/>
    <x v="0"/>
    <n v="654"/>
    <n v="654"/>
    <n v="642"/>
    <n v="5844"/>
    <n v="0"/>
    <n v="1"/>
    <n v="0"/>
  </r>
  <r>
    <x v="9"/>
    <x v="0"/>
    <x v="1"/>
    <n v="114"/>
    <n v="114"/>
    <n v="221"/>
    <n v="1117"/>
    <n v="1"/>
    <n v="0"/>
    <n v="0"/>
  </r>
  <r>
    <x v="9"/>
    <x v="1"/>
    <x v="2"/>
    <n v="0"/>
    <n v="-87"/>
    <n v="127"/>
    <n v="4396"/>
    <n v="0"/>
    <n v="1"/>
    <n v="0"/>
  </r>
  <r>
    <x v="9"/>
    <x v="1"/>
    <x v="3"/>
    <n v="33"/>
    <n v="33"/>
    <n v="253"/>
    <n v="1310"/>
    <n v="1"/>
    <n v="0"/>
    <n v="0"/>
  </r>
  <r>
    <x v="9"/>
    <x v="2"/>
    <x v="4"/>
    <n v="27"/>
    <n v="27"/>
    <n v="0"/>
    <n v="815"/>
    <n v="0"/>
    <n v="1"/>
    <n v="0"/>
  </r>
  <r>
    <x v="9"/>
    <x v="3"/>
    <x v="5"/>
    <n v="58"/>
    <n v="58"/>
    <n v="73"/>
    <n v="364"/>
    <n v="0"/>
    <n v="0"/>
    <n v="1"/>
  </r>
  <r>
    <x v="10"/>
    <x v="0"/>
    <x v="0"/>
    <n v="296"/>
    <n v="296"/>
    <n v="446"/>
    <n v="5598"/>
    <n v="0"/>
    <n v="1"/>
    <n v="0"/>
  </r>
  <r>
    <x v="10"/>
    <x v="0"/>
    <x v="1"/>
    <n v="72"/>
    <n v="72"/>
    <n v="120"/>
    <n v="1029"/>
    <n v="1"/>
    <n v="0"/>
    <n v="0"/>
  </r>
  <r>
    <x v="10"/>
    <x v="1"/>
    <x v="2"/>
    <n v="0"/>
    <n v="-1026"/>
    <n v="27"/>
    <n v="3370"/>
    <n v="0"/>
    <n v="1"/>
    <n v="0"/>
  </r>
  <r>
    <x v="10"/>
    <x v="1"/>
    <x v="3"/>
    <n v="7"/>
    <n v="7"/>
    <n v="130"/>
    <n v="1187"/>
    <n v="1"/>
    <n v="0"/>
    <n v="0"/>
  </r>
  <r>
    <x v="10"/>
    <x v="2"/>
    <x v="4"/>
    <n v="30"/>
    <n v="30"/>
    <n v="0"/>
    <n v="815"/>
    <n v="0"/>
    <n v="1"/>
    <n v="0"/>
  </r>
  <r>
    <x v="10"/>
    <x v="3"/>
    <x v="5"/>
    <n v="28"/>
    <n v="28"/>
    <n v="56"/>
    <n v="314"/>
    <n v="0"/>
    <n v="0"/>
    <n v="1"/>
  </r>
  <r>
    <x v="11"/>
    <x v="0"/>
    <x v="0"/>
    <n v="661"/>
    <n v="661"/>
    <n v="483"/>
    <n v="5776"/>
    <n v="0"/>
    <n v="1"/>
    <n v="0"/>
  </r>
  <r>
    <x v="11"/>
    <x v="0"/>
    <x v="1"/>
    <n v="196"/>
    <n v="196"/>
    <n v="128"/>
    <n v="1097"/>
    <n v="1"/>
    <n v="0"/>
    <n v="0"/>
  </r>
  <r>
    <x v="11"/>
    <x v="1"/>
    <x v="2"/>
    <n v="749"/>
    <n v="749"/>
    <n v="245"/>
    <n v="3874"/>
    <n v="0"/>
    <n v="1"/>
    <n v="0"/>
  </r>
  <r>
    <x v="11"/>
    <x v="1"/>
    <x v="3"/>
    <n v="86"/>
    <n v="86"/>
    <n v="95"/>
    <n v="1178"/>
    <n v="1"/>
    <n v="0"/>
    <n v="0"/>
  </r>
  <r>
    <x v="11"/>
    <x v="2"/>
    <x v="4"/>
    <n v="65"/>
    <n v="65"/>
    <n v="0"/>
    <n v="897"/>
    <n v="0"/>
    <n v="1"/>
    <n v="0"/>
  </r>
  <r>
    <x v="11"/>
    <x v="3"/>
    <x v="5"/>
    <n v="37"/>
    <n v="37"/>
    <n v="56"/>
    <n v="320"/>
    <n v="0"/>
    <n v="0"/>
    <n v="1"/>
  </r>
  <r>
    <x v="12"/>
    <x v="0"/>
    <x v="0"/>
    <n v="994"/>
    <n v="994"/>
    <n v="516"/>
    <n v="6254"/>
    <n v="0"/>
    <n v="1"/>
    <n v="0"/>
  </r>
  <r>
    <x v="12"/>
    <x v="0"/>
    <x v="1"/>
    <n v="178"/>
    <n v="178"/>
    <n v="145"/>
    <n v="1130"/>
    <n v="1"/>
    <n v="0"/>
    <n v="0"/>
  </r>
  <r>
    <x v="12"/>
    <x v="1"/>
    <x v="2"/>
    <n v="808"/>
    <n v="808"/>
    <n v="387"/>
    <n v="4295"/>
    <n v="0"/>
    <n v="1"/>
    <n v="0"/>
  </r>
  <r>
    <x v="12"/>
    <x v="1"/>
    <x v="3"/>
    <n v="127"/>
    <n v="127"/>
    <n v="93"/>
    <n v="1212"/>
    <n v="1"/>
    <n v="0"/>
    <n v="0"/>
  </r>
  <r>
    <x v="12"/>
    <x v="2"/>
    <x v="4"/>
    <n v="100"/>
    <n v="100"/>
    <n v="0"/>
    <n v="980"/>
    <n v="0"/>
    <n v="1"/>
    <n v="0"/>
  </r>
  <r>
    <x v="12"/>
    <x v="3"/>
    <x v="5"/>
    <n v="47"/>
    <n v="47"/>
    <n v="57"/>
    <n v="327"/>
    <n v="0"/>
    <n v="0"/>
    <n v="1"/>
  </r>
  <r>
    <x v="13"/>
    <x v="0"/>
    <x v="0"/>
    <n v="1835"/>
    <n v="1835"/>
    <n v="571"/>
    <n v="7517"/>
    <n v="0"/>
    <n v="1"/>
    <n v="0"/>
  </r>
  <r>
    <x v="13"/>
    <x v="0"/>
    <x v="1"/>
    <n v="245"/>
    <n v="245"/>
    <n v="164"/>
    <n v="1211"/>
    <n v="1"/>
    <n v="0"/>
    <n v="0"/>
  </r>
  <r>
    <x v="13"/>
    <x v="1"/>
    <x v="2"/>
    <n v="1314"/>
    <n v="1314"/>
    <n v="396"/>
    <n v="5213"/>
    <n v="0"/>
    <n v="1"/>
    <n v="0"/>
  </r>
  <r>
    <x v="13"/>
    <x v="1"/>
    <x v="3"/>
    <n v="162"/>
    <n v="162"/>
    <n v="132"/>
    <n v="1242"/>
    <n v="1"/>
    <n v="0"/>
    <n v="0"/>
  </r>
  <r>
    <x v="13"/>
    <x v="2"/>
    <x v="4"/>
    <n v="250"/>
    <n v="250"/>
    <n v="4"/>
    <n v="1230"/>
    <n v="0"/>
    <n v="1"/>
    <n v="0"/>
  </r>
  <r>
    <x v="13"/>
    <x v="3"/>
    <x v="5"/>
    <n v="108"/>
    <n v="108"/>
    <n v="65"/>
    <n v="418"/>
    <n v="0"/>
    <n v="0"/>
    <n v="1"/>
  </r>
  <r>
    <x v="14"/>
    <x v="0"/>
    <x v="0"/>
    <n v="1456"/>
    <n v="1456"/>
    <n v="602"/>
    <n v="8371"/>
    <n v="0"/>
    <n v="1"/>
    <n v="0"/>
  </r>
  <r>
    <x v="14"/>
    <x v="0"/>
    <x v="1"/>
    <n v="312"/>
    <n v="312"/>
    <n v="164"/>
    <n v="1359"/>
    <n v="1"/>
    <n v="0"/>
    <n v="0"/>
  </r>
  <r>
    <x v="14"/>
    <x v="1"/>
    <x v="2"/>
    <n v="569"/>
    <n v="569"/>
    <n v="260"/>
    <n v="5522"/>
    <n v="0"/>
    <n v="1"/>
    <n v="0"/>
  </r>
  <r>
    <x v="14"/>
    <x v="1"/>
    <x v="3"/>
    <n v="200"/>
    <n v="200"/>
    <n v="88"/>
    <n v="1354"/>
    <n v="1"/>
    <n v="0"/>
    <n v="0"/>
  </r>
  <r>
    <x v="14"/>
    <x v="2"/>
    <x v="4"/>
    <n v="220"/>
    <n v="220"/>
    <n v="13"/>
    <n v="1437"/>
    <n v="0"/>
    <n v="1"/>
    <n v="0"/>
  </r>
  <r>
    <x v="14"/>
    <x v="3"/>
    <x v="5"/>
    <n v="169"/>
    <n v="169"/>
    <n v="73"/>
    <n v="510"/>
    <n v="0"/>
    <n v="0"/>
    <n v="1"/>
  </r>
  <r>
    <x v="15"/>
    <x v="0"/>
    <x v="0"/>
    <n v="1200"/>
    <n v="1200"/>
    <n v="690"/>
    <n v="8881"/>
    <n v="0"/>
    <n v="1"/>
    <n v="0"/>
  </r>
  <r>
    <x v="15"/>
    <x v="0"/>
    <x v="1"/>
    <n v="240"/>
    <n v="240"/>
    <n v="175"/>
    <n v="1424"/>
    <n v="1"/>
    <n v="0"/>
    <n v="0"/>
  </r>
  <r>
    <x v="15"/>
    <x v="1"/>
    <x v="2"/>
    <n v="720"/>
    <n v="720"/>
    <n v="380"/>
    <n v="5862"/>
    <n v="0"/>
    <n v="1"/>
    <n v="0"/>
  </r>
  <r>
    <x v="15"/>
    <x v="1"/>
    <x v="3"/>
    <n v="175"/>
    <n v="175"/>
    <n v="115"/>
    <n v="1414"/>
    <n v="1"/>
    <n v="0"/>
    <n v="0"/>
  </r>
  <r>
    <x v="15"/>
    <x v="2"/>
    <x v="4"/>
    <n v="200"/>
    <n v="200"/>
    <n v="25"/>
    <n v="1612"/>
    <n v="0"/>
    <n v="1"/>
    <n v="0"/>
  </r>
  <r>
    <x v="15"/>
    <x v="3"/>
    <x v="5"/>
    <n v="119"/>
    <n v="119"/>
    <n v="54"/>
    <n v="527"/>
    <n v="0"/>
    <n v="0"/>
    <n v="1"/>
  </r>
  <r>
    <x v="16"/>
    <x v="0"/>
    <x v="0"/>
    <n v="450"/>
    <n v="450"/>
    <n v="260"/>
    <n v="9071"/>
    <n v="0"/>
    <n v="1"/>
    <n v="0"/>
  </r>
  <r>
    <x v="16"/>
    <x v="0"/>
    <x v="1"/>
    <n v="90"/>
    <n v="90"/>
    <n v="65"/>
    <n v="1449"/>
    <n v="1"/>
    <n v="0"/>
    <n v="0"/>
  </r>
  <r>
    <x v="16"/>
    <x v="1"/>
    <x v="2"/>
    <n v="280"/>
    <n v="280"/>
    <n v="160"/>
    <n v="5982"/>
    <n v="0"/>
    <n v="1"/>
    <n v="0"/>
  </r>
  <r>
    <x v="16"/>
    <x v="1"/>
    <x v="3"/>
    <n v="60"/>
    <n v="60"/>
    <n v="40"/>
    <n v="1434"/>
    <n v="1"/>
    <n v="0"/>
    <n v="0"/>
  </r>
  <r>
    <x v="16"/>
    <x v="2"/>
    <x v="4"/>
    <n v="90"/>
    <n v="90"/>
    <n v="12"/>
    <n v="1690"/>
    <n v="0"/>
    <n v="1"/>
    <n v="0"/>
  </r>
  <r>
    <x v="16"/>
    <x v="3"/>
    <x v="5"/>
    <n v="70"/>
    <n v="70"/>
    <n v="35"/>
    <n v="545"/>
    <n v="0"/>
    <n v="0"/>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
  <r>
    <x v="0"/>
    <x v="0"/>
    <s v="DAL"/>
    <s v="USA"/>
    <x v="0"/>
    <x v="0"/>
    <n v="32.090000000000003"/>
    <n v="3.4"/>
    <n v="1.0900000000000001"/>
    <n v="48.1"/>
    <n v="84.5"/>
    <n v="160"/>
  </r>
  <r>
    <x v="1"/>
    <x v="0"/>
    <s v="DAL"/>
    <s v="USA"/>
    <x v="0"/>
    <x v="0"/>
    <n v="34.54"/>
    <n v="1.1000000000000001"/>
    <n v="0.39"/>
    <n v="51.8"/>
    <n v="80.400000000000006"/>
    <n v="172"/>
  </r>
  <r>
    <x v="2"/>
    <x v="0"/>
    <s v="DAL"/>
    <s v="USA"/>
    <x v="0"/>
    <x v="0"/>
    <n v="35.5"/>
    <n v="5.2"/>
    <n v="1.85"/>
    <n v="53.2"/>
    <n v="83"/>
    <n v="177"/>
  </r>
  <r>
    <x v="3"/>
    <x v="0"/>
    <s v="DAL"/>
    <s v="USA"/>
    <x v="0"/>
    <x v="0"/>
    <n v="36.200000000000003"/>
    <n v="8.1999999999999993"/>
    <n v="2.97"/>
    <n v="54.3"/>
    <n v="84.6"/>
    <n v="181"/>
  </r>
  <r>
    <x v="4"/>
    <x v="0"/>
    <s v="DAL"/>
    <s v="USA"/>
    <x v="0"/>
    <x v="0"/>
    <n v="39"/>
    <n v="8.8000000000000007"/>
    <n v="3.44"/>
    <n v="58.5"/>
    <n v="83.9"/>
    <n v="194"/>
  </r>
  <r>
    <x v="5"/>
    <x v="0"/>
    <s v="DAL"/>
    <s v="USA"/>
    <x v="0"/>
    <x v="0"/>
    <n v="39.659999999999997"/>
    <n v="6.9"/>
    <n v="2.75"/>
    <n v="59.5"/>
    <n v="81.099999999999994"/>
    <n v="198"/>
  </r>
  <r>
    <x v="6"/>
    <x v="0"/>
    <s v="DAL"/>
    <s v="USA"/>
    <x v="0"/>
    <x v="0"/>
    <n v="43.05"/>
    <n v="5.9"/>
    <n v="2.5299999999999998"/>
    <n v="64.599999999999994"/>
    <n v="82.6"/>
    <n v="215"/>
  </r>
  <r>
    <x v="7"/>
    <x v="0"/>
    <s v="DAL"/>
    <s v="USA"/>
    <x v="0"/>
    <x v="0"/>
    <n v="42.29"/>
    <n v="5.9"/>
    <n v="3.83"/>
    <n v="63.4"/>
    <n v="82.7"/>
    <n v="211"/>
  </r>
  <r>
    <x v="8"/>
    <x v="0"/>
    <s v="DAL"/>
    <s v="USA"/>
    <x v="0"/>
    <x v="0"/>
    <n v="43.83"/>
    <n v="5.9"/>
    <n v="2.2400000000000002"/>
    <n v="65.7"/>
    <n v="84.1"/>
    <n v="219"/>
  </r>
  <r>
    <x v="9"/>
    <x v="0"/>
    <s v="DAL"/>
    <s v="USA"/>
    <x v="0"/>
    <x v="0"/>
    <n v="47.52"/>
    <n v="5.9"/>
    <n v="3.34"/>
    <n v="71.3"/>
    <n v="83.9"/>
    <n v="237"/>
  </r>
  <r>
    <x v="10"/>
    <x v="0"/>
    <s v="DAL"/>
    <s v="USA"/>
    <x v="0"/>
    <x v="0"/>
    <n v="18.23"/>
    <n v="5.9"/>
    <n v="-6.57"/>
    <n v="27.4"/>
    <n v="54"/>
    <n v="91"/>
  </r>
  <r>
    <x v="11"/>
    <x v="0"/>
    <s v="DAL"/>
    <s v="USA"/>
    <x v="0"/>
    <x v="0"/>
    <n v="29.18"/>
    <n v="5.9"/>
    <n v="-4.8"/>
    <n v="43.8"/>
    <n v="72.3"/>
    <n v="145"/>
  </r>
  <r>
    <x v="12"/>
    <x v="0"/>
    <s v="DAL"/>
    <s v="USA"/>
    <x v="0"/>
    <x v="0"/>
    <n v="50.43"/>
    <n v="5.9"/>
    <n v="-0.05"/>
    <n v="75.599999999999994"/>
    <n v="81.400000000000006"/>
    <n v="252"/>
  </r>
  <r>
    <x v="13"/>
    <x v="0"/>
    <s v="DAL"/>
    <s v="USA"/>
    <x v="0"/>
    <x v="0"/>
    <n v="59.14"/>
    <n v="5.9"/>
    <n v="5.83"/>
    <n v="88.7"/>
    <n v="84.1"/>
    <n v="295"/>
  </r>
  <r>
    <x v="14"/>
    <x v="0"/>
    <s v="DAL"/>
    <s v="USA"/>
    <x v="0"/>
    <x v="0"/>
    <n v="60.38"/>
    <n v="5.9"/>
    <n v="5.18"/>
    <n v="90.6"/>
    <n v="83.2"/>
    <n v="301"/>
  </r>
  <r>
    <x v="15"/>
    <x v="0"/>
    <s v="DAL"/>
    <s v="USA"/>
    <x v="0"/>
    <x v="0"/>
    <n v="64.72"/>
    <n v="5.9"/>
    <n v="6.59"/>
    <n v="97.1"/>
    <n v="83.4"/>
    <n v="323"/>
  </r>
  <r>
    <x v="16"/>
    <x v="0"/>
    <s v="DAL"/>
    <s v="USA"/>
    <x v="0"/>
    <x v="0"/>
    <n v="68.38"/>
    <n v="5.9"/>
    <n v="4.22"/>
    <n v="102.6"/>
    <n v="83.6"/>
    <n v="341"/>
  </r>
  <r>
    <x v="0"/>
    <x v="1"/>
    <s v="UAL"/>
    <s v="USA"/>
    <x v="0"/>
    <x v="0"/>
    <n v="23.64"/>
    <n v="5.9"/>
    <n v="0.56000000000000005"/>
    <n v="35.5"/>
    <n v="82.4"/>
    <n v="118"/>
  </r>
  <r>
    <x v="1"/>
    <x v="1"/>
    <s v="UAL"/>
    <s v="USA"/>
    <x v="0"/>
    <x v="0"/>
    <n v="25.77"/>
    <n v="5.9"/>
    <n v="1.1299999999999999"/>
    <n v="38.700000000000003"/>
    <n v="82.4"/>
    <n v="128"/>
  </r>
  <r>
    <x v="2"/>
    <x v="1"/>
    <s v="UAL"/>
    <s v="USA"/>
    <x v="0"/>
    <x v="0"/>
    <n v="30.41"/>
    <n v="5.9"/>
    <n v="1.17"/>
    <n v="45.6"/>
    <n v="84.9"/>
    <n v="152"/>
  </r>
  <r>
    <x v="3"/>
    <x v="1"/>
    <s v="UAL"/>
    <s v="USA"/>
    <x v="0"/>
    <x v="0"/>
    <n v="30.44"/>
    <n v="5.9"/>
    <n v="1.57"/>
    <n v="45.7"/>
    <n v="83.3"/>
    <n v="152"/>
  </r>
  <r>
    <x v="4"/>
    <x v="1"/>
    <s v="UAL"/>
    <s v="USA"/>
    <x v="0"/>
    <x v="0"/>
    <n v="35.58"/>
    <n v="5.9"/>
    <n v="2.77"/>
    <n v="53.4"/>
    <n v="84.6"/>
    <n v="177"/>
  </r>
  <r>
    <x v="5"/>
    <x v="1"/>
    <s v="UAL"/>
    <s v="USA"/>
    <x v="0"/>
    <x v="0"/>
    <n v="37.51"/>
    <n v="5.9"/>
    <n v="1.82"/>
    <n v="56.3"/>
    <n v="84.7"/>
    <n v="187"/>
  </r>
  <r>
    <x v="6"/>
    <x v="1"/>
    <s v="UAL"/>
    <s v="USA"/>
    <x v="0"/>
    <x v="0"/>
    <n v="38.81"/>
    <n v="5.9"/>
    <n v="1.0900000000000001"/>
    <n v="58.2"/>
    <n v="80.7"/>
    <n v="194"/>
  </r>
  <r>
    <x v="7"/>
    <x v="1"/>
    <s v="UAL"/>
    <s v="USA"/>
    <x v="0"/>
    <x v="0"/>
    <n v="39.07"/>
    <n v="5.9"/>
    <n v="2.83"/>
    <n v="58.6"/>
    <n v="83.3"/>
    <n v="195"/>
  </r>
  <r>
    <x v="8"/>
    <x v="1"/>
    <s v="UAL"/>
    <s v="USA"/>
    <x v="0"/>
    <x v="0"/>
    <n v="42.16"/>
    <n v="5.9"/>
    <n v="2.08"/>
    <n v="63.2"/>
    <n v="83.3"/>
    <n v="210"/>
  </r>
  <r>
    <x v="9"/>
    <x v="1"/>
    <s v="UAL"/>
    <s v="USA"/>
    <x v="0"/>
    <x v="0"/>
    <n v="44.12"/>
    <n v="5.9"/>
    <n v="2.31"/>
    <n v="66.2"/>
    <n v="83.9"/>
    <n v="220"/>
  </r>
  <r>
    <x v="10"/>
    <x v="1"/>
    <s v="UAL"/>
    <s v="USA"/>
    <x v="0"/>
    <x v="0"/>
    <n v="15.1"/>
    <n v="5.9"/>
    <n v="-5.42"/>
    <n v="22.6"/>
    <n v="54.2"/>
    <n v="75"/>
  </r>
  <r>
    <x v="11"/>
    <x v="1"/>
    <s v="UAL"/>
    <s v="USA"/>
    <x v="0"/>
    <x v="0"/>
    <n v="23.73"/>
    <n v="5.9"/>
    <n v="-3.98"/>
    <n v="35.6"/>
    <n v="69.099999999999994"/>
    <n v="118"/>
  </r>
  <r>
    <x v="12"/>
    <x v="1"/>
    <s v="UAL"/>
    <s v="USA"/>
    <x v="0"/>
    <x v="0"/>
    <n v="45.02"/>
    <n v="5.9"/>
    <n v="1.44"/>
    <n v="67.5"/>
    <n v="83.9"/>
    <n v="225"/>
  </r>
  <r>
    <x v="13"/>
    <x v="1"/>
    <s v="UAL"/>
    <s v="USA"/>
    <x v="0"/>
    <x v="0"/>
    <n v="54.78"/>
    <n v="5.9"/>
    <n v="4.25"/>
    <n v="82.2"/>
    <n v="82.2"/>
    <n v="273"/>
  </r>
  <r>
    <x v="14"/>
    <x v="1"/>
    <s v="UAL"/>
    <s v="USA"/>
    <x v="0"/>
    <x v="0"/>
    <n v="56.96"/>
    <n v="5.9"/>
    <n v="2.15"/>
    <n v="85.4"/>
    <n v="80.099999999999994"/>
    <n v="284"/>
  </r>
  <r>
    <x v="15"/>
    <x v="1"/>
    <s v="UAL"/>
    <s v="USA"/>
    <x v="0"/>
    <x v="0"/>
    <n v="58.19"/>
    <n v="5.9"/>
    <n v="3.2"/>
    <n v="87.3"/>
    <n v="83.8"/>
    <n v="290"/>
  </r>
  <r>
    <x v="16"/>
    <x v="1"/>
    <s v="UAL"/>
    <s v="USA"/>
    <x v="0"/>
    <x v="0"/>
    <n v="62.28"/>
    <n v="5.9"/>
    <n v="3.15"/>
    <n v="93.4"/>
    <n v="85.6"/>
    <n v="311"/>
  </r>
  <r>
    <x v="0"/>
    <x v="2"/>
    <s v="AAL"/>
    <s v="USA"/>
    <x v="0"/>
    <x v="0"/>
    <n v="21.96"/>
    <n v="5.9"/>
    <n v="1.72"/>
    <n v="32.9"/>
    <n v="81.099999999999994"/>
    <n v="109"/>
  </r>
  <r>
    <x v="1"/>
    <x v="2"/>
    <s v="AAL"/>
    <s v="USA"/>
    <x v="0"/>
    <x v="0"/>
    <n v="25.78"/>
    <n v="5.9"/>
    <n v="0.93"/>
    <n v="38.700000000000003"/>
    <n v="82.3"/>
    <n v="128"/>
  </r>
  <r>
    <x v="2"/>
    <x v="2"/>
    <s v="AAL"/>
    <s v="USA"/>
    <x v="0"/>
    <x v="0"/>
    <n v="30.44"/>
    <n v="5.9"/>
    <n v="0.51"/>
    <n v="45.7"/>
    <n v="83.9"/>
    <n v="152"/>
  </r>
  <r>
    <x v="3"/>
    <x v="2"/>
    <s v="AAL"/>
    <s v="USA"/>
    <x v="0"/>
    <x v="0"/>
    <n v="33.659999999999997"/>
    <n v="5.9"/>
    <n v="1.52"/>
    <n v="50.5"/>
    <n v="80.099999999999994"/>
    <n v="168"/>
  </r>
  <r>
    <x v="4"/>
    <x v="2"/>
    <s v="AAL"/>
    <s v="USA"/>
    <x v="0"/>
    <x v="0"/>
    <n v="37.24"/>
    <n v="5.9"/>
    <n v="1.74"/>
    <n v="55.9"/>
    <n v="83.5"/>
    <n v="186"/>
  </r>
  <r>
    <x v="5"/>
    <x v="2"/>
    <s v="AAL"/>
    <s v="USA"/>
    <x v="0"/>
    <x v="0"/>
    <n v="40.93"/>
    <n v="5.9"/>
    <n v="4.09"/>
    <n v="61.4"/>
    <n v="82.5"/>
    <n v="204"/>
  </r>
  <r>
    <x v="6"/>
    <x v="2"/>
    <s v="AAL"/>
    <s v="USA"/>
    <x v="0"/>
    <x v="0"/>
    <n v="40.83"/>
    <n v="5.9"/>
    <n v="2.63"/>
    <n v="61.2"/>
    <n v="83.4"/>
    <n v="204"/>
  </r>
  <r>
    <x v="7"/>
    <x v="2"/>
    <s v="AAL"/>
    <s v="USA"/>
    <x v="0"/>
    <x v="0"/>
    <n v="45.1"/>
    <n v="5.9"/>
    <n v="3.65"/>
    <n v="67.7"/>
    <n v="83.7"/>
    <n v="225"/>
  </r>
  <r>
    <x v="8"/>
    <x v="2"/>
    <s v="AAL"/>
    <s v="USA"/>
    <x v="0"/>
    <x v="0"/>
    <n v="46.5"/>
    <n v="5.9"/>
    <n v="1.41"/>
    <n v="69.7"/>
    <n v="81.7"/>
    <n v="232"/>
  </r>
  <r>
    <x v="9"/>
    <x v="2"/>
    <s v="AAL"/>
    <s v="USA"/>
    <x v="0"/>
    <x v="0"/>
    <n v="44.54"/>
    <n v="5.9"/>
    <n v="0.9"/>
    <n v="66.8"/>
    <n v="80.2"/>
    <n v="222"/>
  </r>
  <r>
    <x v="10"/>
    <x v="2"/>
    <s v="AAL"/>
    <s v="USA"/>
    <x v="0"/>
    <x v="0"/>
    <n v="17.63"/>
    <n v="5.9"/>
    <n v="-6.27"/>
    <n v="26.4"/>
    <n v="52.1"/>
    <n v="88"/>
  </r>
  <r>
    <x v="11"/>
    <x v="2"/>
    <s v="AAL"/>
    <s v="USA"/>
    <x v="0"/>
    <x v="0"/>
    <n v="29"/>
    <n v="5.9"/>
    <n v="-4.99"/>
    <n v="43.5"/>
    <n v="71.7"/>
    <n v="145"/>
  </r>
  <r>
    <x v="12"/>
    <x v="2"/>
    <s v="AAL"/>
    <s v="USA"/>
    <x v="0"/>
    <x v="0"/>
    <n v="51.92"/>
    <n v="5.9"/>
    <n v="4.82"/>
    <n v="77.900000000000006"/>
    <n v="83.8"/>
    <n v="259"/>
  </r>
  <r>
    <x v="13"/>
    <x v="2"/>
    <s v="AAL"/>
    <s v="USA"/>
    <x v="0"/>
    <x v="0"/>
    <n v="51.26"/>
    <n v="5.9"/>
    <n v="1.37"/>
    <n v="76.900000000000006"/>
    <n v="83.5"/>
    <n v="256"/>
  </r>
  <r>
    <x v="14"/>
    <x v="2"/>
    <s v="AAL"/>
    <s v="USA"/>
    <x v="0"/>
    <x v="0"/>
    <n v="52.89"/>
    <n v="5.9"/>
    <n v="3.68"/>
    <n v="79.3"/>
    <n v="81.8"/>
    <n v="264"/>
  </r>
  <r>
    <x v="15"/>
    <x v="2"/>
    <s v="AAL"/>
    <s v="USA"/>
    <x v="0"/>
    <x v="0"/>
    <n v="55.86"/>
    <n v="5.9"/>
    <n v="5.96"/>
    <n v="83.8"/>
    <n v="83.3"/>
    <n v="279"/>
  </r>
  <r>
    <x v="16"/>
    <x v="2"/>
    <s v="AAL"/>
    <s v="USA"/>
    <x v="0"/>
    <x v="0"/>
    <n v="57.72"/>
    <n v="5.9"/>
    <n v="1.97"/>
    <n v="86.6"/>
    <n v="79.7"/>
    <n v="288"/>
  </r>
  <r>
    <x v="0"/>
    <x v="3"/>
    <s v="LUV"/>
    <s v="USA"/>
    <x v="0"/>
    <x v="1"/>
    <n v="11.92"/>
    <n v="5.9"/>
    <n v="1.41"/>
    <n v="47.7"/>
    <n v="90.5"/>
    <n v="59"/>
  </r>
  <r>
    <x v="1"/>
    <x v="3"/>
    <s v="LUV"/>
    <s v="USA"/>
    <x v="0"/>
    <x v="1"/>
    <n v="13.69"/>
    <n v="5.9"/>
    <n v="1.98"/>
    <n v="54.8"/>
    <n v="86"/>
    <n v="68"/>
  </r>
  <r>
    <x v="2"/>
    <x v="3"/>
    <s v="LUV"/>
    <s v="USA"/>
    <x v="0"/>
    <x v="1"/>
    <n v="14.65"/>
    <n v="5.9"/>
    <n v="1.4"/>
    <n v="58.6"/>
    <n v="85.5"/>
    <n v="73"/>
  </r>
  <r>
    <x v="3"/>
    <x v="3"/>
    <s v="LUV"/>
    <s v="USA"/>
    <x v="0"/>
    <x v="1"/>
    <n v="17.82"/>
    <n v="5.9"/>
    <n v="1.77"/>
    <n v="71.3"/>
    <n v="88.7"/>
    <n v="89"/>
  </r>
  <r>
    <x v="4"/>
    <x v="3"/>
    <s v="LUV"/>
    <s v="USA"/>
    <x v="0"/>
    <x v="1"/>
    <n v="17.77"/>
    <n v="5.9"/>
    <n v="2.5499999999999998"/>
    <n v="71.099999999999994"/>
    <n v="87.8"/>
    <n v="88"/>
  </r>
  <r>
    <x v="5"/>
    <x v="3"/>
    <s v="LUV"/>
    <s v="USA"/>
    <x v="0"/>
    <x v="1"/>
    <n v="19.71"/>
    <n v="5.9"/>
    <n v="2.34"/>
    <n v="78.8"/>
    <n v="85.7"/>
    <n v="98"/>
  </r>
  <r>
    <x v="6"/>
    <x v="3"/>
    <s v="LUV"/>
    <s v="USA"/>
    <x v="0"/>
    <x v="1"/>
    <n v="20.78"/>
    <n v="5.9"/>
    <n v="2.2599999999999998"/>
    <n v="83.1"/>
    <n v="84.5"/>
    <n v="103"/>
  </r>
  <r>
    <x v="7"/>
    <x v="3"/>
    <s v="LUV"/>
    <s v="USA"/>
    <x v="0"/>
    <x v="1"/>
    <n v="20.399999999999999"/>
    <n v="5.9"/>
    <n v="2.54"/>
    <n v="81.599999999999994"/>
    <n v="90.2"/>
    <n v="102"/>
  </r>
  <r>
    <x v="8"/>
    <x v="3"/>
    <s v="LUV"/>
    <s v="USA"/>
    <x v="0"/>
    <x v="1"/>
    <n v="22.01"/>
    <n v="5.9"/>
    <n v="2.58"/>
    <n v="88"/>
    <n v="87.6"/>
    <n v="110"/>
  </r>
  <r>
    <x v="9"/>
    <x v="3"/>
    <s v="LUV"/>
    <s v="USA"/>
    <x v="0"/>
    <x v="1"/>
    <n v="23.3"/>
    <n v="5.9"/>
    <n v="2.2200000000000002"/>
    <n v="93.2"/>
    <n v="86.2"/>
    <n v="116"/>
  </r>
  <r>
    <x v="10"/>
    <x v="3"/>
    <s v="LUV"/>
    <s v="USA"/>
    <x v="0"/>
    <x v="1"/>
    <n v="9.3000000000000007"/>
    <n v="5.9"/>
    <n v="-3.16"/>
    <n v="37.200000000000003"/>
    <n v="58.1"/>
    <n v="46"/>
  </r>
  <r>
    <x v="11"/>
    <x v="3"/>
    <s v="LUV"/>
    <s v="USA"/>
    <x v="0"/>
    <x v="1"/>
    <n v="15.89"/>
    <n v="5.9"/>
    <n v="-3.35"/>
    <n v="63.5"/>
    <n v="67.3"/>
    <n v="79"/>
  </r>
  <r>
    <x v="12"/>
    <x v="3"/>
    <s v="LUV"/>
    <s v="USA"/>
    <x v="0"/>
    <x v="1"/>
    <n v="25.01"/>
    <n v="5.9"/>
    <n v="1.58"/>
    <n v="100"/>
    <n v="86.6"/>
    <n v="125"/>
  </r>
  <r>
    <x v="13"/>
    <x v="3"/>
    <s v="LUV"/>
    <s v="USA"/>
    <x v="0"/>
    <x v="1"/>
    <n v="25.8"/>
    <n v="5.9"/>
    <n v="4.04"/>
    <n v="103.2"/>
    <n v="84.8"/>
    <n v="129"/>
  </r>
  <r>
    <x v="14"/>
    <x v="3"/>
    <s v="LUV"/>
    <s v="USA"/>
    <x v="0"/>
    <x v="1"/>
    <n v="26.77"/>
    <n v="5.9"/>
    <n v="3.64"/>
    <n v="107.1"/>
    <n v="86.2"/>
    <n v="133"/>
  </r>
  <r>
    <x v="15"/>
    <x v="3"/>
    <s v="LUV"/>
    <s v="USA"/>
    <x v="0"/>
    <x v="1"/>
    <n v="29.25"/>
    <n v="5.9"/>
    <n v="3.39"/>
    <n v="117"/>
    <n v="87.7"/>
    <n v="146"/>
  </r>
  <r>
    <x v="16"/>
    <x v="3"/>
    <s v="LUV"/>
    <s v="USA"/>
    <x v="0"/>
    <x v="1"/>
    <n v="32.340000000000003"/>
    <n v="5.9"/>
    <n v="3.95"/>
    <n v="129.30000000000001"/>
    <n v="88.3"/>
    <n v="161"/>
  </r>
  <r>
    <x v="0"/>
    <x v="4"/>
    <s v="ALK"/>
    <s v="USA"/>
    <x v="0"/>
    <x v="2"/>
    <n v="3.57"/>
    <n v="5.9"/>
    <n v="0.28000000000000003"/>
    <n v="10.7"/>
    <n v="85.3"/>
    <n v="17"/>
  </r>
  <r>
    <x v="1"/>
    <x v="4"/>
    <s v="ALK"/>
    <s v="USA"/>
    <x v="0"/>
    <x v="2"/>
    <n v="4.01"/>
    <n v="5.9"/>
    <n v="0.23"/>
    <n v="12"/>
    <n v="86.3"/>
    <n v="20"/>
  </r>
  <r>
    <x v="2"/>
    <x v="4"/>
    <s v="ALK"/>
    <s v="USA"/>
    <x v="0"/>
    <x v="2"/>
    <n v="4.6500000000000004"/>
    <n v="5.9"/>
    <n v="0.22"/>
    <n v="13.9"/>
    <n v="87.1"/>
    <n v="23"/>
  </r>
  <r>
    <x v="3"/>
    <x v="4"/>
    <s v="ALK"/>
    <s v="USA"/>
    <x v="0"/>
    <x v="2"/>
    <n v="4.8099999999999996"/>
    <n v="5.9"/>
    <n v="0.35"/>
    <n v="14.4"/>
    <n v="89"/>
    <n v="24"/>
  </r>
  <r>
    <x v="4"/>
    <x v="4"/>
    <s v="ALK"/>
    <s v="USA"/>
    <x v="0"/>
    <x v="2"/>
    <n v="5.33"/>
    <n v="5.9"/>
    <n v="0.6"/>
    <n v="16"/>
    <n v="86.7"/>
    <n v="26"/>
  </r>
  <r>
    <x v="5"/>
    <x v="4"/>
    <s v="ALK"/>
    <s v="USA"/>
    <x v="0"/>
    <x v="2"/>
    <n v="5.48"/>
    <n v="5.9"/>
    <n v="0.41"/>
    <n v="16.5"/>
    <n v="87.5"/>
    <n v="27"/>
  </r>
  <r>
    <x v="6"/>
    <x v="4"/>
    <s v="ALK"/>
    <s v="USA"/>
    <x v="0"/>
    <x v="2"/>
    <n v="6.53"/>
    <n v="5.9"/>
    <n v="0.35"/>
    <n v="19.600000000000001"/>
    <n v="87.2"/>
    <n v="32"/>
  </r>
  <r>
    <x v="7"/>
    <x v="4"/>
    <s v="ALK"/>
    <s v="USA"/>
    <x v="0"/>
    <x v="2"/>
    <n v="7.45"/>
    <n v="5.9"/>
    <n v="1.06"/>
    <n v="22.4"/>
    <n v="90.8"/>
    <n v="37"/>
  </r>
  <r>
    <x v="8"/>
    <x v="4"/>
    <s v="ALK"/>
    <s v="USA"/>
    <x v="0"/>
    <x v="2"/>
    <n v="8.09"/>
    <n v="5.9"/>
    <n v="0.59"/>
    <n v="24.3"/>
    <n v="84.1"/>
    <n v="40"/>
  </r>
  <r>
    <x v="9"/>
    <x v="4"/>
    <s v="ALK"/>
    <s v="USA"/>
    <x v="0"/>
    <x v="2"/>
    <n v="8.65"/>
    <n v="5.9"/>
    <n v="0.76"/>
    <n v="25.9"/>
    <n v="89.4"/>
    <n v="43"/>
  </r>
  <r>
    <x v="10"/>
    <x v="4"/>
    <s v="ALK"/>
    <s v="USA"/>
    <x v="0"/>
    <x v="2"/>
    <n v="3.52"/>
    <n v="5.9"/>
    <n v="-1.29"/>
    <n v="10.6"/>
    <n v="50.7"/>
    <n v="17"/>
  </r>
  <r>
    <x v="11"/>
    <x v="4"/>
    <s v="ALK"/>
    <s v="USA"/>
    <x v="0"/>
    <x v="2"/>
    <n v="6.17"/>
    <n v="5.9"/>
    <n v="-1.27"/>
    <n v="18.5"/>
    <n v="68.900000000000006"/>
    <n v="30"/>
  </r>
  <r>
    <x v="12"/>
    <x v="4"/>
    <s v="ALK"/>
    <s v="USA"/>
    <x v="0"/>
    <x v="2"/>
    <n v="9.35"/>
    <n v="5.9"/>
    <n v="0.16"/>
    <n v="28.1"/>
    <n v="83.5"/>
    <n v="46"/>
  </r>
  <r>
    <x v="13"/>
    <x v="4"/>
    <s v="ALK"/>
    <s v="USA"/>
    <x v="0"/>
    <x v="2"/>
    <n v="9.9499999999999993"/>
    <n v="5.9"/>
    <n v="1.33"/>
    <n v="29.9"/>
    <n v="84.4"/>
    <n v="49"/>
  </r>
  <r>
    <x v="14"/>
    <x v="4"/>
    <s v="ALK"/>
    <s v="USA"/>
    <x v="0"/>
    <x v="2"/>
    <n v="10.84"/>
    <n v="5.9"/>
    <n v="1.36"/>
    <n v="32.5"/>
    <n v="92.8"/>
    <n v="54"/>
  </r>
  <r>
    <x v="15"/>
    <x v="4"/>
    <s v="ALK"/>
    <s v="USA"/>
    <x v="0"/>
    <x v="2"/>
    <n v="11.44"/>
    <n v="5.9"/>
    <n v="0.81"/>
    <n v="34.299999999999997"/>
    <n v="87.7"/>
    <n v="57"/>
  </r>
  <r>
    <x v="16"/>
    <x v="4"/>
    <s v="ALK"/>
    <s v="USA"/>
    <x v="0"/>
    <x v="2"/>
    <n v="13.17"/>
    <n v="5.9"/>
    <n v="0.73"/>
    <n v="39.5"/>
    <n v="86.5"/>
    <n v="65"/>
  </r>
  <r>
    <x v="0"/>
    <x v="5"/>
    <s v="JBLU"/>
    <s v="USA"/>
    <x v="0"/>
    <x v="1"/>
    <n v="3.89"/>
    <n v="5.9"/>
    <n v="0.51"/>
    <n v="15.6"/>
    <n v="86.2"/>
    <n v="19"/>
  </r>
  <r>
    <x v="1"/>
    <x v="5"/>
    <s v="JBLU"/>
    <s v="USA"/>
    <x v="0"/>
    <x v="1"/>
    <n v="4.3"/>
    <n v="5.9"/>
    <n v="0.37"/>
    <n v="17.2"/>
    <n v="86.5"/>
    <n v="21"/>
  </r>
  <r>
    <x v="2"/>
    <x v="5"/>
    <s v="JBLU"/>
    <s v="USA"/>
    <x v="0"/>
    <x v="1"/>
    <n v="4.8"/>
    <n v="5.9"/>
    <n v="0.6"/>
    <n v="19.2"/>
    <n v="85.9"/>
    <n v="24"/>
  </r>
  <r>
    <x v="3"/>
    <x v="5"/>
    <s v="JBLU"/>
    <s v="USA"/>
    <x v="0"/>
    <x v="1"/>
    <n v="5.44"/>
    <n v="5.9"/>
    <n v="0.79"/>
    <n v="21.7"/>
    <n v="87.3"/>
    <n v="27"/>
  </r>
  <r>
    <x v="4"/>
    <x v="5"/>
    <s v="JBLU"/>
    <s v="USA"/>
    <x v="0"/>
    <x v="1"/>
    <n v="5.94"/>
    <n v="5.9"/>
    <n v="0.72"/>
    <n v="23.8"/>
    <n v="87"/>
    <n v="29"/>
  </r>
  <r>
    <x v="5"/>
    <x v="5"/>
    <s v="JBLU"/>
    <s v="USA"/>
    <x v="0"/>
    <x v="1"/>
    <n v="6.26"/>
    <n v="5.9"/>
    <n v="0.8"/>
    <n v="25.1"/>
    <n v="86.8"/>
    <n v="31"/>
  </r>
  <r>
    <x v="6"/>
    <x v="5"/>
    <s v="JBLU"/>
    <s v="USA"/>
    <x v="0"/>
    <x v="1"/>
    <n v="7.28"/>
    <n v="5.9"/>
    <n v="1.1599999999999999"/>
    <n v="29.1"/>
    <n v="87.8"/>
    <n v="36"/>
  </r>
  <r>
    <x v="7"/>
    <x v="5"/>
    <s v="JBLU"/>
    <s v="USA"/>
    <x v="0"/>
    <x v="1"/>
    <n v="7.1"/>
    <n v="5.9"/>
    <n v="0.65"/>
    <n v="28.4"/>
    <n v="89.4"/>
    <n v="35"/>
  </r>
  <r>
    <x v="8"/>
    <x v="5"/>
    <s v="JBLU"/>
    <s v="USA"/>
    <x v="0"/>
    <x v="1"/>
    <n v="7.76"/>
    <n v="5.9"/>
    <n v="1.02"/>
    <n v="31"/>
    <n v="83.5"/>
    <n v="38"/>
  </r>
  <r>
    <x v="9"/>
    <x v="5"/>
    <s v="JBLU"/>
    <s v="USA"/>
    <x v="0"/>
    <x v="1"/>
    <n v="8.33"/>
    <n v="5.9"/>
    <n v="1.0900000000000001"/>
    <n v="33.299999999999997"/>
    <n v="84.8"/>
    <n v="41"/>
  </r>
  <r>
    <x v="10"/>
    <x v="5"/>
    <s v="JBLU"/>
    <s v="USA"/>
    <x v="0"/>
    <x v="1"/>
    <n v="2.86"/>
    <n v="5.9"/>
    <n v="-0.98"/>
    <n v="11.4"/>
    <n v="55.1"/>
    <n v="14"/>
  </r>
  <r>
    <x v="11"/>
    <x v="5"/>
    <s v="JBLU"/>
    <s v="USA"/>
    <x v="0"/>
    <x v="1"/>
    <n v="5.95"/>
    <n v="5.9"/>
    <n v="-1.0900000000000001"/>
    <n v="23.8"/>
    <n v="69.5"/>
    <n v="29"/>
  </r>
  <r>
    <x v="12"/>
    <x v="5"/>
    <s v="JBLU"/>
    <s v="USA"/>
    <x v="0"/>
    <x v="1"/>
    <n v="9.24"/>
    <n v="5.9"/>
    <n v="0.52"/>
    <n v="37"/>
    <n v="81.900000000000006"/>
    <n v="46"/>
  </r>
  <r>
    <x v="13"/>
    <x v="5"/>
    <s v="JBLU"/>
    <s v="USA"/>
    <x v="0"/>
    <x v="1"/>
    <n v="9.5299999999999994"/>
    <n v="5.9"/>
    <n v="1.19"/>
    <n v="38.1"/>
    <n v="87.6"/>
    <n v="47"/>
  </r>
  <r>
    <x v="14"/>
    <x v="5"/>
    <s v="JBLU"/>
    <s v="USA"/>
    <x v="0"/>
    <x v="1"/>
    <n v="9.1999999999999993"/>
    <n v="5.9"/>
    <n v="0.7"/>
    <n v="36.799999999999997"/>
    <n v="87.7"/>
    <n v="45"/>
  </r>
  <r>
    <x v="15"/>
    <x v="5"/>
    <s v="JBLU"/>
    <s v="USA"/>
    <x v="0"/>
    <x v="1"/>
    <n v="10.16"/>
    <n v="5.9"/>
    <n v="0.83"/>
    <n v="40.700000000000003"/>
    <n v="88.7"/>
    <n v="50"/>
  </r>
  <r>
    <x v="16"/>
    <x v="5"/>
    <s v="JBLU"/>
    <s v="USA"/>
    <x v="0"/>
    <x v="1"/>
    <n v="9.9"/>
    <n v="5.9"/>
    <n v="1.17"/>
    <n v="39.6"/>
    <n v="84.9"/>
    <n v="49"/>
  </r>
  <r>
    <x v="0"/>
    <x v="6"/>
    <s v="LHA"/>
    <s v="DEU"/>
    <x v="1"/>
    <x v="0"/>
    <n v="34.65"/>
    <n v="5.9"/>
    <n v="3.21"/>
    <n v="52"/>
    <n v="84.2"/>
    <n v="173"/>
  </r>
  <r>
    <x v="1"/>
    <x v="6"/>
    <s v="LHA"/>
    <s v="DEU"/>
    <x v="1"/>
    <x v="0"/>
    <n v="36.950000000000003"/>
    <n v="5.9"/>
    <n v="3.3"/>
    <n v="55.4"/>
    <n v="83.9"/>
    <n v="184"/>
  </r>
  <r>
    <x v="2"/>
    <x v="6"/>
    <s v="LHA"/>
    <s v="DEU"/>
    <x v="1"/>
    <x v="0"/>
    <n v="37.049999999999997"/>
    <n v="5.9"/>
    <n v="2.63"/>
    <n v="55.6"/>
    <n v="84.7"/>
    <n v="185"/>
  </r>
  <r>
    <x v="3"/>
    <x v="6"/>
    <s v="LHA"/>
    <s v="DEU"/>
    <x v="1"/>
    <x v="0"/>
    <n v="34.93"/>
    <n v="5.9"/>
    <n v="2.15"/>
    <n v="52.4"/>
    <n v="81.599999999999994"/>
    <n v="174"/>
  </r>
  <r>
    <x v="4"/>
    <x v="6"/>
    <s v="LHA"/>
    <s v="DEU"/>
    <x v="1"/>
    <x v="0"/>
    <n v="36.380000000000003"/>
    <n v="5.9"/>
    <n v="1.1100000000000001"/>
    <n v="54.6"/>
    <n v="84.6"/>
    <n v="181"/>
  </r>
  <r>
    <x v="5"/>
    <x v="6"/>
    <s v="LHA"/>
    <s v="DEU"/>
    <x v="1"/>
    <x v="0"/>
    <n v="35.200000000000003"/>
    <n v="5.9"/>
    <n v="3.14"/>
    <n v="52.8"/>
    <n v="84.5"/>
    <n v="175"/>
  </r>
  <r>
    <x v="6"/>
    <x v="6"/>
    <s v="LHA"/>
    <s v="DEU"/>
    <x v="1"/>
    <x v="0"/>
    <n v="39.61"/>
    <n v="5.9"/>
    <n v="3.1"/>
    <n v="59.4"/>
    <n v="79.900000000000006"/>
    <n v="198"/>
  </r>
  <r>
    <x v="7"/>
    <x v="6"/>
    <s v="LHA"/>
    <s v="DEU"/>
    <x v="1"/>
    <x v="0"/>
    <n v="39.520000000000003"/>
    <n v="5.9"/>
    <n v="1.21"/>
    <n v="59.3"/>
    <n v="82"/>
    <n v="197"/>
  </r>
  <r>
    <x v="8"/>
    <x v="6"/>
    <s v="LHA"/>
    <s v="DEU"/>
    <x v="1"/>
    <x v="0"/>
    <n v="43.63"/>
    <n v="5.9"/>
    <n v="3.31"/>
    <n v="65.5"/>
    <n v="81.599999999999994"/>
    <n v="218"/>
  </r>
  <r>
    <x v="9"/>
    <x v="6"/>
    <s v="LHA"/>
    <s v="DEU"/>
    <x v="1"/>
    <x v="0"/>
    <n v="38.9"/>
    <n v="5.9"/>
    <n v="2.37"/>
    <n v="58.3"/>
    <n v="80.599999999999994"/>
    <n v="194"/>
  </r>
  <r>
    <x v="10"/>
    <x v="6"/>
    <s v="LHA"/>
    <s v="DEU"/>
    <x v="1"/>
    <x v="0"/>
    <n v="14.7"/>
    <n v="5.9"/>
    <n v="-5.03"/>
    <n v="22.1"/>
    <n v="57.3"/>
    <n v="73"/>
  </r>
  <r>
    <x v="11"/>
    <x v="6"/>
    <s v="LHA"/>
    <s v="DEU"/>
    <x v="1"/>
    <x v="0"/>
    <n v="19.66"/>
    <n v="5.9"/>
    <n v="-4.66"/>
    <n v="29.5"/>
    <n v="70.599999999999994"/>
    <n v="98"/>
  </r>
  <r>
    <x v="12"/>
    <x v="6"/>
    <s v="LHA"/>
    <s v="DEU"/>
    <x v="1"/>
    <x v="0"/>
    <n v="35.08"/>
    <n v="5.9"/>
    <n v="1.06"/>
    <n v="52.6"/>
    <n v="86.2"/>
    <n v="175"/>
  </r>
  <r>
    <x v="13"/>
    <x v="6"/>
    <s v="LHA"/>
    <s v="DEU"/>
    <x v="1"/>
    <x v="0"/>
    <n v="37.22"/>
    <n v="5.9"/>
    <n v="2.4300000000000002"/>
    <n v="55.8"/>
    <n v="84.2"/>
    <n v="186"/>
  </r>
  <r>
    <x v="14"/>
    <x v="6"/>
    <s v="LHA"/>
    <s v="DEU"/>
    <x v="1"/>
    <x v="0"/>
    <n v="38.619999999999997"/>
    <n v="5.9"/>
    <n v="4.5199999999999996"/>
    <n v="57.9"/>
    <n v="83.7"/>
    <n v="193"/>
  </r>
  <r>
    <x v="15"/>
    <x v="6"/>
    <s v="LHA"/>
    <s v="DEU"/>
    <x v="1"/>
    <x v="0"/>
    <n v="43.34"/>
    <n v="5.9"/>
    <n v="2.85"/>
    <n v="65"/>
    <n v="84.6"/>
    <n v="216"/>
  </r>
  <r>
    <x v="16"/>
    <x v="6"/>
    <s v="LHA"/>
    <s v="DEU"/>
    <x v="1"/>
    <x v="0"/>
    <n v="45.43"/>
    <n v="5.9"/>
    <n v="2.99"/>
    <n v="68.099999999999994"/>
    <n v="83.5"/>
    <n v="227"/>
  </r>
  <r>
    <x v="0"/>
    <x v="7"/>
    <s v="IAG"/>
    <s v="GBR"/>
    <x v="1"/>
    <x v="0"/>
    <n v="12.5"/>
    <n v="5.9"/>
    <n v="0.48"/>
    <n v="18.8"/>
    <n v="82.7"/>
    <n v="62"/>
  </r>
  <r>
    <x v="1"/>
    <x v="7"/>
    <s v="IAG"/>
    <s v="GBR"/>
    <x v="1"/>
    <x v="0"/>
    <n v="15.01"/>
    <n v="5.9"/>
    <n v="1.04"/>
    <n v="22.5"/>
    <n v="85"/>
    <n v="75"/>
  </r>
  <r>
    <x v="2"/>
    <x v="7"/>
    <s v="IAG"/>
    <s v="GBR"/>
    <x v="1"/>
    <x v="0"/>
    <n v="17.2"/>
    <n v="5.9"/>
    <n v="0.98"/>
    <n v="25.8"/>
    <n v="86"/>
    <n v="86"/>
  </r>
  <r>
    <x v="3"/>
    <x v="7"/>
    <s v="IAG"/>
    <s v="GBR"/>
    <x v="1"/>
    <x v="0"/>
    <n v="19.989999999999998"/>
    <n v="5.9"/>
    <n v="0.79"/>
    <n v="30"/>
    <n v="83.4"/>
    <n v="99"/>
  </r>
  <r>
    <x v="4"/>
    <x v="7"/>
    <s v="IAG"/>
    <s v="GBR"/>
    <x v="1"/>
    <x v="0"/>
    <n v="23.71"/>
    <n v="5.9"/>
    <n v="1.43"/>
    <n v="35.6"/>
    <n v="85.7"/>
    <n v="118"/>
  </r>
  <r>
    <x v="5"/>
    <x v="7"/>
    <s v="IAG"/>
    <s v="GBR"/>
    <x v="1"/>
    <x v="0"/>
    <n v="26.47"/>
    <n v="5.9"/>
    <n v="2.15"/>
    <n v="39.700000000000003"/>
    <n v="84.1"/>
    <n v="132"/>
  </r>
  <r>
    <x v="6"/>
    <x v="7"/>
    <s v="IAG"/>
    <s v="GBR"/>
    <x v="1"/>
    <x v="0"/>
    <n v="28.6"/>
    <n v="5.9"/>
    <n v="1.57"/>
    <n v="42.9"/>
    <n v="79"/>
    <n v="142"/>
  </r>
  <r>
    <x v="7"/>
    <x v="7"/>
    <s v="IAG"/>
    <s v="GBR"/>
    <x v="1"/>
    <x v="0"/>
    <n v="28.89"/>
    <n v="5.9"/>
    <n v="1.4"/>
    <n v="43.3"/>
    <n v="83.2"/>
    <n v="144"/>
  </r>
  <r>
    <x v="8"/>
    <x v="7"/>
    <s v="IAG"/>
    <s v="GBR"/>
    <x v="1"/>
    <x v="0"/>
    <n v="29.54"/>
    <n v="5.9"/>
    <n v="0.59"/>
    <n v="44.3"/>
    <n v="80.5"/>
    <n v="147"/>
  </r>
  <r>
    <x v="9"/>
    <x v="7"/>
    <s v="IAG"/>
    <s v="GBR"/>
    <x v="1"/>
    <x v="0"/>
    <n v="28.02"/>
    <n v="5.9"/>
    <n v="1.1200000000000001"/>
    <n v="42"/>
    <n v="83.9"/>
    <n v="140"/>
  </r>
  <r>
    <x v="10"/>
    <x v="7"/>
    <s v="IAG"/>
    <s v="GBR"/>
    <x v="1"/>
    <x v="0"/>
    <n v="9.5500000000000007"/>
    <n v="5.9"/>
    <n v="-3.28"/>
    <n v="14.3"/>
    <n v="52.2"/>
    <n v="47"/>
  </r>
  <r>
    <x v="11"/>
    <x v="7"/>
    <s v="IAG"/>
    <s v="GBR"/>
    <x v="1"/>
    <x v="0"/>
    <n v="10.64"/>
    <n v="5.9"/>
    <n v="-1.9"/>
    <n v="16"/>
    <n v="69.099999999999994"/>
    <n v="53"/>
  </r>
  <r>
    <x v="12"/>
    <x v="7"/>
    <s v="IAG"/>
    <s v="GBR"/>
    <x v="1"/>
    <x v="0"/>
    <n v="26.87"/>
    <n v="5.9"/>
    <n v="1.01"/>
    <n v="40.299999999999997"/>
    <n v="83.3"/>
    <n v="134"/>
  </r>
  <r>
    <x v="13"/>
    <x v="7"/>
    <s v="IAG"/>
    <s v="GBR"/>
    <x v="1"/>
    <x v="0"/>
    <n v="33.25"/>
    <n v="5.9"/>
    <n v="2.85"/>
    <n v="49.9"/>
    <n v="84.1"/>
    <n v="166"/>
  </r>
  <r>
    <x v="14"/>
    <x v="7"/>
    <s v="IAG"/>
    <s v="GBR"/>
    <x v="1"/>
    <x v="0"/>
    <n v="33"/>
    <n v="5.9"/>
    <n v="2.4900000000000002"/>
    <n v="49.5"/>
    <n v="83.4"/>
    <n v="164"/>
  </r>
  <r>
    <x v="15"/>
    <x v="7"/>
    <s v="IAG"/>
    <s v="GBR"/>
    <x v="1"/>
    <x v="0"/>
    <n v="36.229999999999997"/>
    <n v="5.9"/>
    <n v="2.54"/>
    <n v="54.3"/>
    <n v="84"/>
    <n v="181"/>
  </r>
  <r>
    <x v="16"/>
    <x v="7"/>
    <s v="IAG"/>
    <s v="GBR"/>
    <x v="1"/>
    <x v="0"/>
    <n v="36.71"/>
    <n v="5.9"/>
    <n v="2.09"/>
    <n v="55.1"/>
    <n v="84.7"/>
    <n v="183"/>
  </r>
  <r>
    <x v="0"/>
    <x v="8"/>
    <s v="AFR"/>
    <s v="FRA"/>
    <x v="1"/>
    <x v="0"/>
    <n v="28.73"/>
    <n v="5.9"/>
    <n v="0.79"/>
    <n v="43.1"/>
    <n v="80"/>
    <n v="143"/>
  </r>
  <r>
    <x v="1"/>
    <x v="8"/>
    <s v="AFR"/>
    <s v="FRA"/>
    <x v="1"/>
    <x v="0"/>
    <n v="27.97"/>
    <n v="5.9"/>
    <n v="1.2"/>
    <n v="42"/>
    <n v="84.5"/>
    <n v="139"/>
  </r>
  <r>
    <x v="2"/>
    <x v="8"/>
    <s v="AFR"/>
    <s v="FRA"/>
    <x v="1"/>
    <x v="0"/>
    <n v="29.25"/>
    <n v="5.9"/>
    <n v="1.9"/>
    <n v="43.9"/>
    <n v="85.2"/>
    <n v="146"/>
  </r>
  <r>
    <x v="3"/>
    <x v="8"/>
    <s v="AFR"/>
    <s v="FRA"/>
    <x v="1"/>
    <x v="0"/>
    <n v="30.18"/>
    <n v="5.9"/>
    <n v="1.76"/>
    <n v="45.3"/>
    <n v="85.7"/>
    <n v="150"/>
  </r>
  <r>
    <x v="4"/>
    <x v="8"/>
    <s v="AFR"/>
    <s v="FRA"/>
    <x v="1"/>
    <x v="0"/>
    <n v="28.58"/>
    <n v="5.9"/>
    <n v="1.1200000000000001"/>
    <n v="42.9"/>
    <n v="81.8"/>
    <n v="142"/>
  </r>
  <r>
    <x v="5"/>
    <x v="8"/>
    <s v="AFR"/>
    <s v="FRA"/>
    <x v="1"/>
    <x v="0"/>
    <n v="26.78"/>
    <n v="5.9"/>
    <n v="1.01"/>
    <n v="40.200000000000003"/>
    <n v="82.3"/>
    <n v="133"/>
  </r>
  <r>
    <x v="6"/>
    <x v="8"/>
    <s v="AFR"/>
    <s v="FRA"/>
    <x v="1"/>
    <x v="0"/>
    <n v="29.47"/>
    <n v="5.9"/>
    <n v="3.04"/>
    <n v="44.2"/>
    <n v="80.2"/>
    <n v="147"/>
  </r>
  <r>
    <x v="7"/>
    <x v="8"/>
    <s v="AFR"/>
    <s v="FRA"/>
    <x v="1"/>
    <x v="0"/>
    <n v="29.88"/>
    <n v="5.9"/>
    <n v="1.02"/>
    <n v="44.8"/>
    <n v="83.9"/>
    <n v="149"/>
  </r>
  <r>
    <x v="8"/>
    <x v="8"/>
    <s v="AFR"/>
    <s v="FRA"/>
    <x v="1"/>
    <x v="0"/>
    <n v="30.18"/>
    <n v="5.9"/>
    <n v="0.43"/>
    <n v="45.3"/>
    <n v="84.9"/>
    <n v="150"/>
  </r>
  <r>
    <x v="9"/>
    <x v="8"/>
    <s v="AFR"/>
    <s v="FRA"/>
    <x v="1"/>
    <x v="0"/>
    <n v="29.85"/>
    <n v="5.9"/>
    <n v="1.39"/>
    <n v="44.8"/>
    <n v="80.900000000000006"/>
    <n v="149"/>
  </r>
  <r>
    <x v="10"/>
    <x v="8"/>
    <s v="AFR"/>
    <s v="FRA"/>
    <x v="1"/>
    <x v="0"/>
    <n v="11.47"/>
    <n v="5.9"/>
    <n v="-3.89"/>
    <n v="17.2"/>
    <n v="54.6"/>
    <n v="57"/>
  </r>
  <r>
    <x v="11"/>
    <x v="8"/>
    <s v="AFR"/>
    <s v="FRA"/>
    <x v="1"/>
    <x v="0"/>
    <n v="16.760000000000002"/>
    <n v="5.9"/>
    <n v="-2.87"/>
    <n v="25.1"/>
    <n v="72.599999999999994"/>
    <n v="83"/>
  </r>
  <r>
    <x v="12"/>
    <x v="8"/>
    <s v="AFR"/>
    <s v="FRA"/>
    <x v="1"/>
    <x v="0"/>
    <n v="28.11"/>
    <n v="5.9"/>
    <n v="-0.48"/>
    <n v="42.2"/>
    <n v="85.1"/>
    <n v="140"/>
  </r>
  <r>
    <x v="13"/>
    <x v="8"/>
    <s v="AFR"/>
    <s v="FRA"/>
    <x v="1"/>
    <x v="0"/>
    <n v="32.479999999999997"/>
    <n v="5.9"/>
    <n v="3.5"/>
    <n v="48.7"/>
    <n v="83.8"/>
    <n v="162"/>
  </r>
  <r>
    <x v="14"/>
    <x v="8"/>
    <s v="AFR"/>
    <s v="FRA"/>
    <x v="1"/>
    <x v="0"/>
    <n v="33.770000000000003"/>
    <n v="5.9"/>
    <n v="3"/>
    <n v="50.7"/>
    <n v="86.9"/>
    <n v="168"/>
  </r>
  <r>
    <x v="15"/>
    <x v="8"/>
    <s v="AFR"/>
    <s v="FRA"/>
    <x v="1"/>
    <x v="0"/>
    <n v="38"/>
    <n v="5.9"/>
    <n v="3.11"/>
    <n v="57"/>
    <n v="83.3"/>
    <n v="189"/>
  </r>
  <r>
    <x v="16"/>
    <x v="8"/>
    <s v="AFR"/>
    <s v="FRA"/>
    <x v="1"/>
    <x v="0"/>
    <n v="38.729999999999997"/>
    <n v="5.9"/>
    <n v="1.51"/>
    <n v="58.1"/>
    <n v="83.7"/>
    <n v="193"/>
  </r>
  <r>
    <x v="0"/>
    <x v="9"/>
    <s v="RYA"/>
    <s v="IRL"/>
    <x v="1"/>
    <x v="1"/>
    <n v="3.6"/>
    <n v="5.9"/>
    <n v="0.46"/>
    <n v="14.4"/>
    <n v="85.3"/>
    <n v="17"/>
  </r>
  <r>
    <x v="1"/>
    <x v="9"/>
    <s v="RYA"/>
    <s v="IRL"/>
    <x v="1"/>
    <x v="1"/>
    <n v="3.83"/>
    <n v="5.9"/>
    <n v="0.26"/>
    <n v="15.3"/>
    <n v="84.8"/>
    <n v="19"/>
  </r>
  <r>
    <x v="2"/>
    <x v="9"/>
    <s v="RYA"/>
    <s v="IRL"/>
    <x v="1"/>
    <x v="1"/>
    <n v="4.38"/>
    <n v="5.9"/>
    <n v="0.49"/>
    <n v="17.5"/>
    <n v="90.9"/>
    <n v="21"/>
  </r>
  <r>
    <x v="3"/>
    <x v="9"/>
    <s v="RYA"/>
    <s v="IRL"/>
    <x v="1"/>
    <x v="1"/>
    <n v="5.0199999999999996"/>
    <n v="5.9"/>
    <n v="0.48"/>
    <n v="20.100000000000001"/>
    <n v="87.7"/>
    <n v="25"/>
  </r>
  <r>
    <x v="4"/>
    <x v="9"/>
    <s v="RYA"/>
    <s v="IRL"/>
    <x v="1"/>
    <x v="1"/>
    <n v="5.22"/>
    <n v="5.9"/>
    <n v="0.59"/>
    <n v="20.9"/>
    <n v="87.4"/>
    <n v="26"/>
  </r>
  <r>
    <x v="5"/>
    <x v="9"/>
    <s v="RYA"/>
    <s v="IRL"/>
    <x v="1"/>
    <x v="1"/>
    <n v="5.81"/>
    <n v="5.9"/>
    <n v="0.65"/>
    <n v="23.2"/>
    <n v="89.1"/>
    <n v="29"/>
  </r>
  <r>
    <x v="6"/>
    <x v="9"/>
    <s v="RYA"/>
    <s v="IRL"/>
    <x v="1"/>
    <x v="1"/>
    <n v="6.15"/>
    <n v="5.9"/>
    <n v="0.74"/>
    <n v="24.6"/>
    <n v="92.2"/>
    <n v="30"/>
  </r>
  <r>
    <x v="7"/>
    <x v="9"/>
    <s v="RYA"/>
    <s v="IRL"/>
    <x v="1"/>
    <x v="1"/>
    <n v="7.08"/>
    <n v="5.9"/>
    <n v="1.1000000000000001"/>
    <n v="28.3"/>
    <n v="87.2"/>
    <n v="35"/>
  </r>
  <r>
    <x v="8"/>
    <x v="9"/>
    <s v="RYA"/>
    <s v="IRL"/>
    <x v="1"/>
    <x v="1"/>
    <n v="7.84"/>
    <n v="5.9"/>
    <n v="0.93"/>
    <n v="31.3"/>
    <n v="86.7"/>
    <n v="39"/>
  </r>
  <r>
    <x v="9"/>
    <x v="9"/>
    <s v="RYA"/>
    <s v="IRL"/>
    <x v="1"/>
    <x v="1"/>
    <n v="8.3000000000000007"/>
    <n v="5.9"/>
    <n v="1.0900000000000001"/>
    <n v="33.200000000000003"/>
    <n v="85.3"/>
    <n v="41"/>
  </r>
  <r>
    <x v="10"/>
    <x v="9"/>
    <s v="RYA"/>
    <s v="IRL"/>
    <x v="1"/>
    <x v="1"/>
    <n v="1.84"/>
    <n v="5.9"/>
    <n v="-0.59"/>
    <n v="7.3"/>
    <n v="55.7"/>
    <n v="9"/>
  </r>
  <r>
    <x v="11"/>
    <x v="9"/>
    <s v="RYA"/>
    <s v="IRL"/>
    <x v="1"/>
    <x v="1"/>
    <n v="1.59"/>
    <n v="5.9"/>
    <n v="-0.27"/>
    <n v="6.3"/>
    <n v="69.400000000000006"/>
    <n v="7"/>
  </r>
  <r>
    <x v="12"/>
    <x v="9"/>
    <s v="RYA"/>
    <s v="IRL"/>
    <x v="1"/>
    <x v="1"/>
    <n v="11.11"/>
    <n v="5.9"/>
    <n v="-0.28999999999999998"/>
    <n v="44.4"/>
    <n v="86.3"/>
    <n v="55"/>
  </r>
  <r>
    <x v="13"/>
    <x v="9"/>
    <s v="RYA"/>
    <s v="IRL"/>
    <x v="1"/>
    <x v="1"/>
    <n v="12.91"/>
    <n v="5.9"/>
    <n v="1.07"/>
    <n v="51.6"/>
    <n v="89.7"/>
    <n v="64"/>
  </r>
  <r>
    <x v="14"/>
    <x v="9"/>
    <s v="RYA"/>
    <s v="IRL"/>
    <x v="1"/>
    <x v="1"/>
    <n v="14.89"/>
    <n v="5.9"/>
    <n v="1.52"/>
    <n v="59.6"/>
    <n v="84"/>
    <n v="74"/>
  </r>
  <r>
    <x v="15"/>
    <x v="9"/>
    <s v="RYA"/>
    <s v="IRL"/>
    <x v="1"/>
    <x v="1"/>
    <n v="13.95"/>
    <n v="5.9"/>
    <n v="1.48"/>
    <n v="55.8"/>
    <n v="91.8"/>
    <n v="69"/>
  </r>
  <r>
    <x v="16"/>
    <x v="9"/>
    <s v="RYA"/>
    <s v="IRL"/>
    <x v="1"/>
    <x v="1"/>
    <n v="16.21"/>
    <n v="5.9"/>
    <n v="1.72"/>
    <n v="64.8"/>
    <n v="87.9"/>
    <n v="81"/>
  </r>
  <r>
    <x v="0"/>
    <x v="10"/>
    <s v="EZJ"/>
    <s v="GBR"/>
    <x v="1"/>
    <x v="1"/>
    <n v="4.01"/>
    <n v="5.9"/>
    <n v="0.45"/>
    <n v="16"/>
    <n v="87.2"/>
    <n v="20"/>
  </r>
  <r>
    <x v="1"/>
    <x v="10"/>
    <s v="EZJ"/>
    <s v="GBR"/>
    <x v="1"/>
    <x v="1"/>
    <n v="4.79"/>
    <n v="5.9"/>
    <n v="0.67"/>
    <n v="19.2"/>
    <n v="87.7"/>
    <n v="23"/>
  </r>
  <r>
    <x v="2"/>
    <x v="10"/>
    <s v="EZJ"/>
    <s v="GBR"/>
    <x v="1"/>
    <x v="1"/>
    <n v="5.51"/>
    <n v="5.9"/>
    <n v="0.56999999999999995"/>
    <n v="22"/>
    <n v="88.8"/>
    <n v="27"/>
  </r>
  <r>
    <x v="3"/>
    <x v="10"/>
    <s v="EZJ"/>
    <s v="GBR"/>
    <x v="1"/>
    <x v="1"/>
    <n v="6.3"/>
    <n v="5.9"/>
    <n v="0.6"/>
    <n v="25.2"/>
    <n v="85.2"/>
    <n v="31"/>
  </r>
  <r>
    <x v="4"/>
    <x v="10"/>
    <s v="EZJ"/>
    <s v="GBR"/>
    <x v="1"/>
    <x v="1"/>
    <n v="6.87"/>
    <n v="5.9"/>
    <n v="0.79"/>
    <n v="27.5"/>
    <n v="89.8"/>
    <n v="34"/>
  </r>
  <r>
    <x v="5"/>
    <x v="10"/>
    <s v="EZJ"/>
    <s v="GBR"/>
    <x v="1"/>
    <x v="1"/>
    <n v="7.11"/>
    <n v="5.9"/>
    <n v="1.1100000000000001"/>
    <n v="28.4"/>
    <n v="87.3"/>
    <n v="35"/>
  </r>
  <r>
    <x v="6"/>
    <x v="10"/>
    <s v="EZJ"/>
    <s v="GBR"/>
    <x v="1"/>
    <x v="1"/>
    <n v="7.66"/>
    <n v="5.9"/>
    <n v="1.22"/>
    <n v="30.6"/>
    <n v="86.3"/>
    <n v="38"/>
  </r>
  <r>
    <x v="7"/>
    <x v="10"/>
    <s v="EZJ"/>
    <s v="GBR"/>
    <x v="1"/>
    <x v="1"/>
    <n v="7.78"/>
    <n v="5.9"/>
    <n v="0.85"/>
    <n v="31.1"/>
    <n v="87.9"/>
    <n v="38"/>
  </r>
  <r>
    <x v="8"/>
    <x v="10"/>
    <s v="EZJ"/>
    <s v="GBR"/>
    <x v="1"/>
    <x v="1"/>
    <n v="8.01"/>
    <n v="5.9"/>
    <n v="1.0900000000000001"/>
    <n v="32.1"/>
    <n v="85.9"/>
    <n v="40"/>
  </r>
  <r>
    <x v="9"/>
    <x v="10"/>
    <s v="EZJ"/>
    <s v="GBR"/>
    <x v="1"/>
    <x v="1"/>
    <n v="9"/>
    <n v="5.9"/>
    <n v="0.54"/>
    <n v="36"/>
    <n v="85.4"/>
    <n v="45"/>
  </r>
  <r>
    <x v="10"/>
    <x v="10"/>
    <s v="EZJ"/>
    <s v="GBR"/>
    <x v="1"/>
    <x v="1"/>
    <n v="4.18"/>
    <n v="5.9"/>
    <n v="-1.55"/>
    <n v="16.7"/>
    <n v="55.5"/>
    <n v="20"/>
  </r>
  <r>
    <x v="11"/>
    <x v="10"/>
    <s v="EZJ"/>
    <s v="GBR"/>
    <x v="1"/>
    <x v="1"/>
    <n v="1.99"/>
    <n v="5.9"/>
    <n v="-0.37"/>
    <n v="8"/>
    <n v="69.7"/>
    <n v="9"/>
  </r>
  <r>
    <x v="12"/>
    <x v="10"/>
    <s v="EZJ"/>
    <s v="GBR"/>
    <x v="1"/>
    <x v="1"/>
    <n v="7.65"/>
    <n v="5.9"/>
    <n v="-0.04"/>
    <n v="30.6"/>
    <n v="88.4"/>
    <n v="38"/>
  </r>
  <r>
    <x v="13"/>
    <x v="10"/>
    <s v="EZJ"/>
    <s v="GBR"/>
    <x v="1"/>
    <x v="1"/>
    <n v="11.22"/>
    <n v="5.9"/>
    <n v="1.45"/>
    <n v="44.9"/>
    <n v="88.1"/>
    <n v="56"/>
  </r>
  <r>
    <x v="14"/>
    <x v="10"/>
    <s v="EZJ"/>
    <s v="GBR"/>
    <x v="1"/>
    <x v="1"/>
    <n v="11.7"/>
    <n v="5.9"/>
    <n v="2"/>
    <n v="46.8"/>
    <n v="86.8"/>
    <n v="58"/>
  </r>
  <r>
    <x v="15"/>
    <x v="10"/>
    <s v="EZJ"/>
    <s v="GBR"/>
    <x v="1"/>
    <x v="1"/>
    <n v="11.94"/>
    <n v="5.9"/>
    <n v="1.21"/>
    <n v="47.8"/>
    <n v="84.9"/>
    <n v="59"/>
  </r>
  <r>
    <x v="16"/>
    <x v="10"/>
    <s v="EZJ"/>
    <s v="GBR"/>
    <x v="1"/>
    <x v="1"/>
    <n v="12.04"/>
    <n v="5.9"/>
    <n v="1.18"/>
    <n v="48.2"/>
    <n v="86.9"/>
    <n v="60"/>
  </r>
  <r>
    <x v="0"/>
    <x v="11"/>
    <s v="THY"/>
    <s v="TUR"/>
    <x v="1"/>
    <x v="0"/>
    <n v="5.56"/>
    <n v="5.9"/>
    <n v="0.34"/>
    <n v="8.3000000000000007"/>
    <n v="81.5"/>
    <n v="27"/>
  </r>
  <r>
    <x v="1"/>
    <x v="11"/>
    <s v="THY"/>
    <s v="TUR"/>
    <x v="1"/>
    <x v="0"/>
    <n v="6.68"/>
    <n v="5.9"/>
    <n v="0.52"/>
    <n v="10"/>
    <n v="82.7"/>
    <n v="33"/>
  </r>
  <r>
    <x v="2"/>
    <x v="11"/>
    <s v="THY"/>
    <s v="TUR"/>
    <x v="1"/>
    <x v="0"/>
    <n v="7.35"/>
    <n v="5.9"/>
    <n v="0.54"/>
    <n v="11"/>
    <n v="83.4"/>
    <n v="36"/>
  </r>
  <r>
    <x v="3"/>
    <x v="11"/>
    <s v="THY"/>
    <s v="TUR"/>
    <x v="1"/>
    <x v="0"/>
    <n v="8.14"/>
    <n v="5.9"/>
    <n v="0.47"/>
    <n v="12.2"/>
    <n v="83.5"/>
    <n v="40"/>
  </r>
  <r>
    <x v="4"/>
    <x v="11"/>
    <s v="THY"/>
    <s v="TUR"/>
    <x v="1"/>
    <x v="0"/>
    <n v="9.25"/>
    <n v="5.9"/>
    <n v="0.6"/>
    <n v="13.9"/>
    <n v="80.099999999999994"/>
    <n v="46"/>
  </r>
  <r>
    <x v="5"/>
    <x v="11"/>
    <s v="THY"/>
    <s v="TUR"/>
    <x v="1"/>
    <x v="0"/>
    <n v="10.93"/>
    <n v="5.9"/>
    <n v="1"/>
    <n v="16.399999999999999"/>
    <n v="82.5"/>
    <n v="54"/>
  </r>
  <r>
    <x v="6"/>
    <x v="11"/>
    <s v="THY"/>
    <s v="TUR"/>
    <x v="1"/>
    <x v="0"/>
    <n v="11.42"/>
    <n v="5.9"/>
    <n v="0"/>
    <n v="17.100000000000001"/>
    <n v="80.7"/>
    <n v="57"/>
  </r>
  <r>
    <x v="7"/>
    <x v="11"/>
    <s v="THY"/>
    <s v="TUR"/>
    <x v="1"/>
    <x v="0"/>
    <n v="11.99"/>
    <n v="5.9"/>
    <n v="0.4"/>
    <n v="18"/>
    <n v="84.4"/>
    <n v="59"/>
  </r>
  <r>
    <x v="8"/>
    <x v="11"/>
    <s v="THY"/>
    <s v="TUR"/>
    <x v="1"/>
    <x v="0"/>
    <n v="13.7"/>
    <n v="5.9"/>
    <n v="0.42"/>
    <n v="20.5"/>
    <n v="81.3"/>
    <n v="68"/>
  </r>
  <r>
    <x v="9"/>
    <x v="11"/>
    <s v="THY"/>
    <s v="TUR"/>
    <x v="1"/>
    <x v="0"/>
    <n v="13.29"/>
    <n v="5.9"/>
    <n v="1.33"/>
    <n v="19.899999999999999"/>
    <n v="80.599999999999994"/>
    <n v="66"/>
  </r>
  <r>
    <x v="10"/>
    <x v="11"/>
    <s v="THY"/>
    <s v="TUR"/>
    <x v="1"/>
    <x v="0"/>
    <n v="6.75"/>
    <n v="5.9"/>
    <n v="-2.06"/>
    <n v="10.1"/>
    <n v="51.7"/>
    <n v="33"/>
  </r>
  <r>
    <x v="11"/>
    <x v="11"/>
    <s v="THY"/>
    <s v="TUR"/>
    <x v="1"/>
    <x v="0"/>
    <n v="10.3"/>
    <n v="5.9"/>
    <n v="-1.96"/>
    <n v="15.4"/>
    <n v="69"/>
    <n v="51"/>
  </r>
  <r>
    <x v="12"/>
    <x v="11"/>
    <s v="THY"/>
    <s v="TUR"/>
    <x v="1"/>
    <x v="0"/>
    <n v="18.850000000000001"/>
    <n v="5.9"/>
    <n v="0.49"/>
    <n v="28.3"/>
    <n v="79.5"/>
    <n v="94"/>
  </r>
  <r>
    <x v="13"/>
    <x v="11"/>
    <s v="THY"/>
    <s v="TUR"/>
    <x v="1"/>
    <x v="0"/>
    <n v="21.23"/>
    <n v="5.9"/>
    <n v="1.39"/>
    <n v="31.8"/>
    <n v="85.5"/>
    <n v="106"/>
  </r>
  <r>
    <x v="14"/>
    <x v="11"/>
    <s v="THY"/>
    <s v="TUR"/>
    <x v="1"/>
    <x v="0"/>
    <n v="22.77"/>
    <n v="5.9"/>
    <n v="1.46"/>
    <n v="34.200000000000003"/>
    <n v="84.1"/>
    <n v="113"/>
  </r>
  <r>
    <x v="15"/>
    <x v="11"/>
    <s v="THY"/>
    <s v="TUR"/>
    <x v="1"/>
    <x v="0"/>
    <n v="25.17"/>
    <n v="5.9"/>
    <n v="2.2999999999999998"/>
    <n v="37.799999999999997"/>
    <n v="79.599999999999994"/>
    <n v="125"/>
  </r>
  <r>
    <x v="16"/>
    <x v="11"/>
    <s v="THY"/>
    <s v="TUR"/>
    <x v="1"/>
    <x v="0"/>
    <n v="26.42"/>
    <n v="5.9"/>
    <n v="0.9"/>
    <n v="39.6"/>
    <n v="83.5"/>
    <n v="132"/>
  </r>
  <r>
    <x v="0"/>
    <x v="12"/>
    <s v="AFL"/>
    <s v="RUS"/>
    <x v="1"/>
    <x v="0"/>
    <n v="4.5999999999999996"/>
    <n v="5.9"/>
    <n v="0.33"/>
    <n v="6.9"/>
    <n v="81.400000000000006"/>
    <n v="22"/>
  </r>
  <r>
    <x v="1"/>
    <x v="12"/>
    <s v="AFL"/>
    <s v="RUS"/>
    <x v="1"/>
    <x v="0"/>
    <n v="4.87"/>
    <n v="5.9"/>
    <n v="0.38"/>
    <n v="7.3"/>
    <n v="83.5"/>
    <n v="24"/>
  </r>
  <r>
    <x v="2"/>
    <x v="12"/>
    <s v="AFL"/>
    <s v="RUS"/>
    <x v="1"/>
    <x v="0"/>
    <n v="5.22"/>
    <n v="5.9"/>
    <n v="0.5"/>
    <n v="7.8"/>
    <n v="82.1"/>
    <n v="26"/>
  </r>
  <r>
    <x v="3"/>
    <x v="12"/>
    <s v="AFL"/>
    <s v="RUS"/>
    <x v="1"/>
    <x v="0"/>
    <n v="5.59"/>
    <n v="5.9"/>
    <n v="0.37"/>
    <n v="8.4"/>
    <n v="81.8"/>
    <n v="27"/>
  </r>
  <r>
    <x v="4"/>
    <x v="12"/>
    <s v="AFL"/>
    <s v="RUS"/>
    <x v="1"/>
    <x v="0"/>
    <n v="5.92"/>
    <n v="5.9"/>
    <n v="0.28000000000000003"/>
    <n v="8.9"/>
    <n v="82.2"/>
    <n v="29"/>
  </r>
  <r>
    <x v="5"/>
    <x v="12"/>
    <s v="AFL"/>
    <s v="RUS"/>
    <x v="1"/>
    <x v="0"/>
    <n v="6.35"/>
    <n v="5.9"/>
    <n v="0.22"/>
    <n v="9.5"/>
    <n v="78.2"/>
    <n v="31"/>
  </r>
  <r>
    <x v="6"/>
    <x v="12"/>
    <s v="AFL"/>
    <s v="RUS"/>
    <x v="1"/>
    <x v="0"/>
    <n v="7.73"/>
    <n v="5.9"/>
    <n v="0.96"/>
    <n v="11.6"/>
    <n v="82.2"/>
    <n v="38"/>
  </r>
  <r>
    <x v="7"/>
    <x v="12"/>
    <s v="AFL"/>
    <s v="RUS"/>
    <x v="1"/>
    <x v="0"/>
    <n v="8.15"/>
    <n v="5.9"/>
    <n v="0.43"/>
    <n v="12.2"/>
    <n v="82.4"/>
    <n v="40"/>
  </r>
  <r>
    <x v="8"/>
    <x v="12"/>
    <s v="AFL"/>
    <s v="RUS"/>
    <x v="1"/>
    <x v="0"/>
    <n v="9.84"/>
    <n v="5.9"/>
    <n v="0.32"/>
    <n v="14.8"/>
    <n v="84.2"/>
    <n v="49"/>
  </r>
  <r>
    <x v="9"/>
    <x v="12"/>
    <s v="AFL"/>
    <s v="RUS"/>
    <x v="1"/>
    <x v="0"/>
    <n v="10.26"/>
    <n v="5.9"/>
    <n v="0.23"/>
    <n v="15.4"/>
    <n v="84.4"/>
    <n v="51"/>
  </r>
  <r>
    <x v="10"/>
    <x v="12"/>
    <s v="AFL"/>
    <s v="RUS"/>
    <x v="1"/>
    <x v="0"/>
    <n v="4.3600000000000003"/>
    <n v="5.9"/>
    <n v="-1.51"/>
    <n v="6.5"/>
    <n v="54.3"/>
    <n v="21"/>
  </r>
  <r>
    <x v="11"/>
    <x v="12"/>
    <s v="AFL"/>
    <s v="RUS"/>
    <x v="1"/>
    <x v="0"/>
    <n v="7.67"/>
    <n v="5.9"/>
    <n v="-1.26"/>
    <n v="11.5"/>
    <n v="66.5"/>
    <n v="38"/>
  </r>
  <r>
    <x v="12"/>
    <x v="12"/>
    <s v="AFL"/>
    <s v="RUS"/>
    <x v="1"/>
    <x v="0"/>
    <n v="4.22"/>
    <n v="5.9"/>
    <n v="-0.25"/>
    <n v="6.3"/>
    <n v="86.7"/>
    <n v="21"/>
  </r>
  <r>
    <x v="13"/>
    <x v="12"/>
    <s v="AFL"/>
    <s v="RUS"/>
    <x v="1"/>
    <x v="0"/>
    <n v="4.9400000000000004"/>
    <n v="5.9"/>
    <n v="0.6"/>
    <n v="7.4"/>
    <n v="80.8"/>
    <n v="24"/>
  </r>
  <r>
    <x v="14"/>
    <x v="12"/>
    <s v="AFL"/>
    <s v="RUS"/>
    <x v="1"/>
    <x v="0"/>
    <n v="5.56"/>
    <n v="5.9"/>
    <n v="0.49"/>
    <n v="8.3000000000000007"/>
    <n v="81.3"/>
    <n v="27"/>
  </r>
  <r>
    <x v="15"/>
    <x v="12"/>
    <s v="AFL"/>
    <s v="RUS"/>
    <x v="1"/>
    <x v="0"/>
    <n v="5.74"/>
    <n v="5.9"/>
    <n v="0.63"/>
    <n v="8.6"/>
    <n v="82.4"/>
    <n v="28"/>
  </r>
  <r>
    <x v="16"/>
    <x v="12"/>
    <s v="AFL"/>
    <s v="RUS"/>
    <x v="1"/>
    <x v="0"/>
    <n v="5.66"/>
    <n v="5.9"/>
    <n v="-0.28999999999999998"/>
    <n v="8.5"/>
    <n v="81.2"/>
    <n v="28"/>
  </r>
  <r>
    <x v="0"/>
    <x v="13"/>
    <s v="CZ"/>
    <s v="CHN"/>
    <x v="2"/>
    <x v="0"/>
    <n v="10.89"/>
    <n v="5.9"/>
    <n v="0.63"/>
    <n v="16.3"/>
    <n v="79.599999999999994"/>
    <n v="54"/>
  </r>
  <r>
    <x v="1"/>
    <x v="13"/>
    <s v="CZ"/>
    <s v="CHN"/>
    <x v="2"/>
    <x v="0"/>
    <n v="11.64"/>
    <n v="5.9"/>
    <n v="0.84"/>
    <n v="17.5"/>
    <n v="82"/>
    <n v="58"/>
  </r>
  <r>
    <x v="2"/>
    <x v="13"/>
    <s v="CZ"/>
    <s v="CHN"/>
    <x v="2"/>
    <x v="0"/>
    <n v="12.44"/>
    <n v="5.9"/>
    <n v="0.99"/>
    <n v="18.7"/>
    <n v="83.5"/>
    <n v="62"/>
  </r>
  <r>
    <x v="3"/>
    <x v="13"/>
    <s v="CZ"/>
    <s v="CHN"/>
    <x v="2"/>
    <x v="0"/>
    <n v="14.35"/>
    <n v="5.9"/>
    <n v="0.39"/>
    <n v="21.5"/>
    <n v="84.7"/>
    <n v="71"/>
  </r>
  <r>
    <x v="4"/>
    <x v="13"/>
    <s v="CZ"/>
    <s v="CHN"/>
    <x v="2"/>
    <x v="0"/>
    <n v="16.05"/>
    <n v="5.9"/>
    <n v="1.92"/>
    <n v="24.1"/>
    <n v="83.8"/>
    <n v="80"/>
  </r>
  <r>
    <x v="5"/>
    <x v="13"/>
    <s v="CZ"/>
    <s v="CHN"/>
    <x v="2"/>
    <x v="0"/>
    <n v="17.3"/>
    <n v="5.9"/>
    <n v="0.97"/>
    <n v="26"/>
    <n v="84.6"/>
    <n v="86"/>
  </r>
  <r>
    <x v="6"/>
    <x v="13"/>
    <s v="CZ"/>
    <s v="CHN"/>
    <x v="2"/>
    <x v="0"/>
    <n v="18.88"/>
    <n v="5.9"/>
    <n v="1.72"/>
    <n v="28.3"/>
    <n v="82"/>
    <n v="94"/>
  </r>
  <r>
    <x v="7"/>
    <x v="13"/>
    <s v="CZ"/>
    <s v="CHN"/>
    <x v="2"/>
    <x v="0"/>
    <n v="19.71"/>
    <n v="5.9"/>
    <n v="0.95"/>
    <n v="29.6"/>
    <n v="84.6"/>
    <n v="98"/>
  </r>
  <r>
    <x v="8"/>
    <x v="13"/>
    <s v="CZ"/>
    <s v="CHN"/>
    <x v="2"/>
    <x v="0"/>
    <n v="22.38"/>
    <n v="5.9"/>
    <n v="1.0900000000000001"/>
    <n v="33.6"/>
    <n v="82.2"/>
    <n v="111"/>
  </r>
  <r>
    <x v="9"/>
    <x v="13"/>
    <s v="CZ"/>
    <s v="CHN"/>
    <x v="2"/>
    <x v="0"/>
    <n v="22.21"/>
    <n v="5.9"/>
    <n v="1.2"/>
    <n v="33.299999999999997"/>
    <n v="84.9"/>
    <n v="111"/>
  </r>
  <r>
    <x v="10"/>
    <x v="13"/>
    <s v="CZ"/>
    <s v="CHN"/>
    <x v="2"/>
    <x v="0"/>
    <n v="12.15"/>
    <n v="5.9"/>
    <n v="-4.5"/>
    <n v="18.2"/>
    <n v="53.4"/>
    <n v="60"/>
  </r>
  <r>
    <x v="11"/>
    <x v="13"/>
    <s v="CZ"/>
    <s v="CHN"/>
    <x v="2"/>
    <x v="0"/>
    <n v="13.06"/>
    <n v="5.9"/>
    <n v="-2.67"/>
    <n v="19.600000000000001"/>
    <n v="68.2"/>
    <n v="65"/>
  </r>
  <r>
    <x v="12"/>
    <x v="13"/>
    <s v="CZ"/>
    <s v="CHN"/>
    <x v="2"/>
    <x v="0"/>
    <n v="11.93"/>
    <n v="5.9"/>
    <n v="0.56999999999999995"/>
    <n v="17.899999999999999"/>
    <n v="82.5"/>
    <n v="59"/>
  </r>
  <r>
    <x v="13"/>
    <x v="13"/>
    <s v="CZ"/>
    <s v="CHN"/>
    <x v="2"/>
    <x v="0"/>
    <n v="20.85"/>
    <n v="5.9"/>
    <n v="1.64"/>
    <n v="31.3"/>
    <n v="85.1"/>
    <n v="104"/>
  </r>
  <r>
    <x v="14"/>
    <x v="13"/>
    <s v="CZ"/>
    <s v="CHN"/>
    <x v="2"/>
    <x v="0"/>
    <n v="23.79"/>
    <n v="5.9"/>
    <n v="1.36"/>
    <n v="35.700000000000003"/>
    <n v="84.1"/>
    <n v="118"/>
  </r>
  <r>
    <x v="15"/>
    <x v="13"/>
    <s v="CZ"/>
    <s v="CHN"/>
    <x v="2"/>
    <x v="0"/>
    <n v="26.32"/>
    <n v="5.9"/>
    <n v="2.5299999999999998"/>
    <n v="39.5"/>
    <n v="83"/>
    <n v="131"/>
  </r>
  <r>
    <x v="16"/>
    <x v="13"/>
    <s v="CZ"/>
    <s v="CHN"/>
    <x v="2"/>
    <x v="0"/>
    <n v="29.11"/>
    <n v="5.9"/>
    <n v="0.99"/>
    <n v="43.7"/>
    <n v="83"/>
    <n v="145"/>
  </r>
  <r>
    <x v="0"/>
    <x v="14"/>
    <s v="CA"/>
    <s v="CHN"/>
    <x v="2"/>
    <x v="0"/>
    <n v="12.52"/>
    <n v="5.9"/>
    <n v="0.37"/>
    <n v="18.8"/>
    <n v="79.900000000000006"/>
    <n v="62"/>
  </r>
  <r>
    <x v="1"/>
    <x v="14"/>
    <s v="CA"/>
    <s v="CHN"/>
    <x v="2"/>
    <x v="0"/>
    <n v="13.78"/>
    <n v="5.9"/>
    <n v="0.71"/>
    <n v="20.7"/>
    <n v="81"/>
    <n v="68"/>
  </r>
  <r>
    <x v="2"/>
    <x v="14"/>
    <s v="CA"/>
    <s v="CHN"/>
    <x v="2"/>
    <x v="0"/>
    <n v="14.36"/>
    <n v="5.9"/>
    <n v="1.27"/>
    <n v="21.5"/>
    <n v="78.400000000000006"/>
    <n v="71"/>
  </r>
  <r>
    <x v="3"/>
    <x v="14"/>
    <s v="CA"/>
    <s v="CHN"/>
    <x v="2"/>
    <x v="0"/>
    <n v="14.63"/>
    <n v="5.9"/>
    <n v="0.54"/>
    <n v="21.9"/>
    <n v="85.9"/>
    <n v="73"/>
  </r>
  <r>
    <x v="4"/>
    <x v="14"/>
    <s v="CA"/>
    <s v="CHN"/>
    <x v="2"/>
    <x v="0"/>
    <n v="16.34"/>
    <n v="5.9"/>
    <n v="1.29"/>
    <n v="24.5"/>
    <n v="80.7"/>
    <n v="81"/>
  </r>
  <r>
    <x v="5"/>
    <x v="14"/>
    <s v="CA"/>
    <s v="CHN"/>
    <x v="2"/>
    <x v="0"/>
    <n v="16.54"/>
    <n v="5.9"/>
    <n v="1.18"/>
    <n v="24.8"/>
    <n v="83.1"/>
    <n v="82"/>
  </r>
  <r>
    <x v="6"/>
    <x v="14"/>
    <s v="CA"/>
    <s v="CHN"/>
    <x v="2"/>
    <x v="0"/>
    <n v="18.54"/>
    <n v="5.9"/>
    <n v="1.03"/>
    <n v="27.8"/>
    <n v="83.6"/>
    <n v="92"/>
  </r>
  <r>
    <x v="7"/>
    <x v="14"/>
    <s v="CA"/>
    <s v="CHN"/>
    <x v="2"/>
    <x v="0"/>
    <n v="19.46"/>
    <n v="5.9"/>
    <n v="1.55"/>
    <n v="29.2"/>
    <n v="84.6"/>
    <n v="97"/>
  </r>
  <r>
    <x v="8"/>
    <x v="14"/>
    <s v="CA"/>
    <s v="CHN"/>
    <x v="2"/>
    <x v="0"/>
    <n v="19.53"/>
    <n v="5.9"/>
    <n v="7.0000000000000007E-2"/>
    <n v="29.3"/>
    <n v="85"/>
    <n v="97"/>
  </r>
  <r>
    <x v="9"/>
    <x v="14"/>
    <s v="CA"/>
    <s v="CHN"/>
    <x v="2"/>
    <x v="0"/>
    <n v="20.83"/>
    <n v="5.9"/>
    <n v="0.72"/>
    <n v="31.2"/>
    <n v="79.3"/>
    <n v="104"/>
  </r>
  <r>
    <x v="10"/>
    <x v="14"/>
    <s v="CA"/>
    <s v="CHN"/>
    <x v="2"/>
    <x v="0"/>
    <n v="9.0299999999999994"/>
    <n v="5.9"/>
    <n v="-2.95"/>
    <n v="13.5"/>
    <n v="58.6"/>
    <n v="45"/>
  </r>
  <r>
    <x v="11"/>
    <x v="14"/>
    <s v="CA"/>
    <s v="CHN"/>
    <x v="2"/>
    <x v="0"/>
    <n v="10.77"/>
    <n v="5.9"/>
    <n v="-2.04"/>
    <n v="16.100000000000001"/>
    <n v="68.2"/>
    <n v="53"/>
  </r>
  <r>
    <x v="12"/>
    <x v="14"/>
    <s v="CA"/>
    <s v="CHN"/>
    <x v="2"/>
    <x v="0"/>
    <n v="8.6999999999999993"/>
    <n v="5.9"/>
    <n v="0.11"/>
    <n v="13.1"/>
    <n v="81"/>
    <n v="43"/>
  </r>
  <r>
    <x v="13"/>
    <x v="14"/>
    <s v="CA"/>
    <s v="CHN"/>
    <x v="2"/>
    <x v="0"/>
    <n v="20.2"/>
    <n v="5.9"/>
    <n v="2.52"/>
    <n v="30.3"/>
    <n v="85.3"/>
    <n v="101"/>
  </r>
  <r>
    <x v="14"/>
    <x v="14"/>
    <s v="CA"/>
    <s v="CHN"/>
    <x v="2"/>
    <x v="0"/>
    <n v="22.37"/>
    <n v="5.9"/>
    <n v="2.27"/>
    <n v="33.6"/>
    <n v="84.3"/>
    <n v="111"/>
  </r>
  <r>
    <x v="15"/>
    <x v="14"/>
    <s v="CA"/>
    <s v="CHN"/>
    <x v="2"/>
    <x v="0"/>
    <n v="25.33"/>
    <n v="5.9"/>
    <n v="2.82"/>
    <n v="38"/>
    <n v="84.3"/>
    <n v="126"/>
  </r>
  <r>
    <x v="16"/>
    <x v="14"/>
    <s v="CA"/>
    <s v="CHN"/>
    <x v="2"/>
    <x v="0"/>
    <n v="27.61"/>
    <n v="5.9"/>
    <n v="2.1"/>
    <n v="41.4"/>
    <n v="83.7"/>
    <n v="138"/>
  </r>
  <r>
    <x v="0"/>
    <x v="15"/>
    <s v="MU"/>
    <s v="CHN"/>
    <x v="2"/>
    <x v="0"/>
    <n v="10.43"/>
    <n v="5.9"/>
    <n v="0.65"/>
    <n v="15.6"/>
    <n v="81.900000000000006"/>
    <n v="52"/>
  </r>
  <r>
    <x v="1"/>
    <x v="15"/>
    <s v="MU"/>
    <s v="CHN"/>
    <x v="2"/>
    <x v="0"/>
    <n v="11.3"/>
    <n v="5.9"/>
    <n v="1.1499999999999999"/>
    <n v="16.899999999999999"/>
    <n v="86.5"/>
    <n v="56"/>
  </r>
  <r>
    <x v="2"/>
    <x v="15"/>
    <s v="MU"/>
    <s v="CHN"/>
    <x v="2"/>
    <x v="0"/>
    <n v="13"/>
    <n v="5.9"/>
    <n v="0.86"/>
    <n v="19.5"/>
    <n v="85.7"/>
    <n v="64"/>
  </r>
  <r>
    <x v="3"/>
    <x v="15"/>
    <s v="MU"/>
    <s v="CHN"/>
    <x v="2"/>
    <x v="0"/>
    <n v="13.22"/>
    <n v="5.9"/>
    <n v="0.86"/>
    <n v="19.8"/>
    <n v="80.8"/>
    <n v="66"/>
  </r>
  <r>
    <x v="4"/>
    <x v="15"/>
    <s v="MU"/>
    <s v="CHN"/>
    <x v="2"/>
    <x v="0"/>
    <n v="14.13"/>
    <n v="5.9"/>
    <n v="0.87"/>
    <n v="21.2"/>
    <n v="80.400000000000006"/>
    <n v="70"/>
  </r>
  <r>
    <x v="5"/>
    <x v="15"/>
    <s v="MU"/>
    <s v="CHN"/>
    <x v="2"/>
    <x v="0"/>
    <n v="14.68"/>
    <n v="5.9"/>
    <n v="0.85"/>
    <n v="22"/>
    <n v="86.6"/>
    <n v="73"/>
  </r>
  <r>
    <x v="6"/>
    <x v="15"/>
    <s v="MU"/>
    <s v="CHN"/>
    <x v="2"/>
    <x v="0"/>
    <n v="15.96"/>
    <n v="5.9"/>
    <n v="0.96"/>
    <n v="23.9"/>
    <n v="83.5"/>
    <n v="79"/>
  </r>
  <r>
    <x v="7"/>
    <x v="15"/>
    <s v="MU"/>
    <s v="CHN"/>
    <x v="2"/>
    <x v="0"/>
    <n v="16.39"/>
    <n v="5.9"/>
    <n v="0.9"/>
    <n v="24.6"/>
    <n v="80.8"/>
    <n v="81"/>
  </r>
  <r>
    <x v="8"/>
    <x v="15"/>
    <s v="MU"/>
    <s v="CHN"/>
    <x v="2"/>
    <x v="0"/>
    <n v="17.12"/>
    <n v="5.9"/>
    <n v="0.71"/>
    <n v="25.7"/>
    <n v="80.5"/>
    <n v="85"/>
  </r>
  <r>
    <x v="9"/>
    <x v="15"/>
    <s v="MU"/>
    <s v="CHN"/>
    <x v="2"/>
    <x v="0"/>
    <n v="17.77"/>
    <n v="5.9"/>
    <n v="1.24"/>
    <n v="26.7"/>
    <n v="79.400000000000006"/>
    <n v="88"/>
  </r>
  <r>
    <x v="10"/>
    <x v="15"/>
    <s v="MU"/>
    <s v="CHN"/>
    <x v="2"/>
    <x v="0"/>
    <n v="8.57"/>
    <n v="5.9"/>
    <n v="-2.79"/>
    <n v="12.9"/>
    <n v="57.1"/>
    <n v="42"/>
  </r>
  <r>
    <x v="11"/>
    <x v="15"/>
    <s v="MU"/>
    <s v="CHN"/>
    <x v="2"/>
    <x v="0"/>
    <n v="10.31"/>
    <n v="5.9"/>
    <n v="-1.85"/>
    <n v="15.5"/>
    <n v="68.3"/>
    <n v="51"/>
  </r>
  <r>
    <x v="12"/>
    <x v="15"/>
    <s v="MU"/>
    <s v="CHN"/>
    <x v="2"/>
    <x v="0"/>
    <n v="7.16"/>
    <n v="5.9"/>
    <n v="0.2"/>
    <n v="10.7"/>
    <n v="83.8"/>
    <n v="35"/>
  </r>
  <r>
    <x v="13"/>
    <x v="15"/>
    <s v="MU"/>
    <s v="CHN"/>
    <x v="2"/>
    <x v="0"/>
    <n v="17.77"/>
    <n v="5.9"/>
    <n v="1.91"/>
    <n v="26.7"/>
    <n v="82.7"/>
    <n v="88"/>
  </r>
  <r>
    <x v="14"/>
    <x v="15"/>
    <s v="MU"/>
    <s v="CHN"/>
    <x v="2"/>
    <x v="0"/>
    <n v="18.88"/>
    <n v="5.9"/>
    <n v="1.36"/>
    <n v="28.3"/>
    <n v="83.4"/>
    <n v="94"/>
  </r>
  <r>
    <x v="15"/>
    <x v="15"/>
    <s v="MU"/>
    <s v="CHN"/>
    <x v="2"/>
    <x v="0"/>
    <n v="21.17"/>
    <n v="5.9"/>
    <n v="1.39"/>
    <n v="31.8"/>
    <n v="83.5"/>
    <n v="105"/>
  </r>
  <r>
    <x v="16"/>
    <x v="15"/>
    <s v="MU"/>
    <s v="CHN"/>
    <x v="2"/>
    <x v="0"/>
    <n v="22.65"/>
    <n v="5.9"/>
    <n v="1"/>
    <n v="34"/>
    <n v="83.6"/>
    <n v="113"/>
  </r>
  <r>
    <x v="0"/>
    <x v="16"/>
    <s v="JAL"/>
    <s v="JPN"/>
    <x v="2"/>
    <x v="0"/>
    <n v="11.86"/>
    <n v="5.9"/>
    <n v="0.78"/>
    <n v="17.8"/>
    <n v="83.5"/>
    <n v="59"/>
  </r>
  <r>
    <x v="1"/>
    <x v="16"/>
    <s v="JAL"/>
    <s v="JPN"/>
    <x v="2"/>
    <x v="0"/>
    <n v="11.52"/>
    <n v="5.9"/>
    <n v="0.55000000000000004"/>
    <n v="17.3"/>
    <n v="85.9"/>
    <n v="57"/>
  </r>
  <r>
    <x v="2"/>
    <x v="16"/>
    <s v="JAL"/>
    <s v="JPN"/>
    <x v="2"/>
    <x v="0"/>
    <n v="11.43"/>
    <n v="5.9"/>
    <n v="0.08"/>
    <n v="17.2"/>
    <n v="79.3"/>
    <n v="57"/>
  </r>
  <r>
    <x v="3"/>
    <x v="16"/>
    <s v="JAL"/>
    <s v="JPN"/>
    <x v="2"/>
    <x v="0"/>
    <n v="11.77"/>
    <n v="5.9"/>
    <n v="0.72"/>
    <n v="17.7"/>
    <n v="82.8"/>
    <n v="58"/>
  </r>
  <r>
    <x v="4"/>
    <x v="16"/>
    <s v="JAL"/>
    <s v="JPN"/>
    <x v="2"/>
    <x v="0"/>
    <n v="12.11"/>
    <n v="5.9"/>
    <n v="-0.08"/>
    <n v="18.2"/>
    <n v="83.8"/>
    <n v="60"/>
  </r>
  <r>
    <x v="5"/>
    <x v="16"/>
    <s v="JAL"/>
    <s v="JPN"/>
    <x v="2"/>
    <x v="0"/>
    <n v="12.16"/>
    <n v="5.9"/>
    <n v="0.39"/>
    <n v="18.2"/>
    <n v="82.2"/>
    <n v="60"/>
  </r>
  <r>
    <x v="6"/>
    <x v="16"/>
    <s v="JAL"/>
    <s v="JPN"/>
    <x v="2"/>
    <x v="0"/>
    <n v="11.8"/>
    <n v="5.9"/>
    <n v="0.44"/>
    <n v="17.7"/>
    <n v="82.3"/>
    <n v="58"/>
  </r>
  <r>
    <x v="7"/>
    <x v="16"/>
    <s v="JAL"/>
    <s v="JPN"/>
    <x v="2"/>
    <x v="0"/>
    <n v="13.08"/>
    <n v="5.9"/>
    <n v="1.39"/>
    <n v="19.600000000000001"/>
    <n v="82.3"/>
    <n v="65"/>
  </r>
  <r>
    <x v="8"/>
    <x v="16"/>
    <s v="JAL"/>
    <s v="JPN"/>
    <x v="2"/>
    <x v="0"/>
    <n v="13.76"/>
    <n v="5.9"/>
    <n v="0.84"/>
    <n v="20.6"/>
    <n v="86.5"/>
    <n v="68"/>
  </r>
  <r>
    <x v="9"/>
    <x v="16"/>
    <s v="JAL"/>
    <s v="JPN"/>
    <x v="2"/>
    <x v="0"/>
    <n v="13.66"/>
    <n v="5.9"/>
    <n v="0.86"/>
    <n v="20.5"/>
    <n v="83.7"/>
    <n v="68"/>
  </r>
  <r>
    <x v="10"/>
    <x v="16"/>
    <s v="JAL"/>
    <s v="JPN"/>
    <x v="2"/>
    <x v="0"/>
    <n v="4.84"/>
    <n v="5.9"/>
    <n v="-1.59"/>
    <n v="7.3"/>
    <n v="53.6"/>
    <n v="24"/>
  </r>
  <r>
    <x v="11"/>
    <x v="16"/>
    <s v="JAL"/>
    <s v="JPN"/>
    <x v="2"/>
    <x v="0"/>
    <n v="6.28"/>
    <n v="5.9"/>
    <n v="-1.19"/>
    <n v="9.4"/>
    <n v="69"/>
    <n v="31"/>
  </r>
  <r>
    <x v="12"/>
    <x v="16"/>
    <s v="JAL"/>
    <s v="JPN"/>
    <x v="2"/>
    <x v="0"/>
    <n v="10.69"/>
    <n v="5.9"/>
    <n v="0.22"/>
    <n v="16"/>
    <n v="83.6"/>
    <n v="53"/>
  </r>
  <r>
    <x v="13"/>
    <x v="16"/>
    <s v="JAL"/>
    <s v="JPN"/>
    <x v="2"/>
    <x v="0"/>
    <n v="12.41"/>
    <n v="5.9"/>
    <n v="1.1000000000000001"/>
    <n v="18.600000000000001"/>
    <n v="83.8"/>
    <n v="62"/>
  </r>
  <r>
    <x v="14"/>
    <x v="16"/>
    <s v="JAL"/>
    <s v="JPN"/>
    <x v="2"/>
    <x v="0"/>
    <n v="12.27"/>
    <n v="5.9"/>
    <n v="1.19"/>
    <n v="18.399999999999999"/>
    <n v="81"/>
    <n v="61"/>
  </r>
  <r>
    <x v="15"/>
    <x v="16"/>
    <s v="JAL"/>
    <s v="JPN"/>
    <x v="2"/>
    <x v="0"/>
    <n v="13.17"/>
    <n v="5.9"/>
    <n v="1.03"/>
    <n v="19.8"/>
    <n v="83.2"/>
    <n v="65"/>
  </r>
  <r>
    <x v="16"/>
    <x v="16"/>
    <s v="JAL"/>
    <s v="JPN"/>
    <x v="2"/>
    <x v="0"/>
    <n v="14.2"/>
    <n v="5.9"/>
    <n v="1.1499999999999999"/>
    <n v="21.3"/>
    <n v="80.3"/>
    <n v="71"/>
  </r>
  <r>
    <x v="0"/>
    <x v="17"/>
    <s v="ANA"/>
    <s v="JPN"/>
    <x v="2"/>
    <x v="0"/>
    <n v="13.83"/>
    <n v="5.9"/>
    <n v="0.63"/>
    <n v="20.7"/>
    <n v="82.9"/>
    <n v="69"/>
  </r>
  <r>
    <x v="1"/>
    <x v="17"/>
    <s v="ANA"/>
    <s v="JPN"/>
    <x v="2"/>
    <x v="0"/>
    <n v="14.56"/>
    <n v="5.9"/>
    <n v="0.51"/>
    <n v="21.8"/>
    <n v="84.4"/>
    <n v="72"/>
  </r>
  <r>
    <x v="2"/>
    <x v="17"/>
    <s v="ANA"/>
    <s v="JPN"/>
    <x v="2"/>
    <x v="0"/>
    <n v="14.91"/>
    <n v="5.9"/>
    <n v="0.19"/>
    <n v="22.4"/>
    <n v="79.099999999999994"/>
    <n v="74"/>
  </r>
  <r>
    <x v="3"/>
    <x v="17"/>
    <s v="ANA"/>
    <s v="JPN"/>
    <x v="2"/>
    <x v="0"/>
    <n v="15.31"/>
    <n v="5.9"/>
    <n v="0.83"/>
    <n v="23"/>
    <n v="82.8"/>
    <n v="76"/>
  </r>
  <r>
    <x v="4"/>
    <x v="17"/>
    <s v="ANA"/>
    <s v="JPN"/>
    <x v="2"/>
    <x v="0"/>
    <n v="15.75"/>
    <n v="5.9"/>
    <n v="1.03"/>
    <n v="23.6"/>
    <n v="84.9"/>
    <n v="78"/>
  </r>
  <r>
    <x v="5"/>
    <x v="17"/>
    <s v="ANA"/>
    <s v="JPN"/>
    <x v="2"/>
    <x v="0"/>
    <n v="15.67"/>
    <n v="5.9"/>
    <n v="0.48"/>
    <n v="23.5"/>
    <n v="80.8"/>
    <n v="78"/>
  </r>
  <r>
    <x v="6"/>
    <x v="17"/>
    <s v="ANA"/>
    <s v="JPN"/>
    <x v="2"/>
    <x v="0"/>
    <n v="17.010000000000002"/>
    <n v="5.9"/>
    <n v="1.55"/>
    <n v="25.5"/>
    <n v="82.1"/>
    <n v="85"/>
  </r>
  <r>
    <x v="7"/>
    <x v="17"/>
    <s v="ANA"/>
    <s v="JPN"/>
    <x v="2"/>
    <x v="0"/>
    <n v="16.27"/>
    <n v="5.9"/>
    <n v="0.28000000000000003"/>
    <n v="24.4"/>
    <n v="81.3"/>
    <n v="81"/>
  </r>
  <r>
    <x v="8"/>
    <x v="17"/>
    <s v="ANA"/>
    <s v="JPN"/>
    <x v="2"/>
    <x v="0"/>
    <n v="17.899999999999999"/>
    <n v="5.9"/>
    <n v="0.89"/>
    <n v="26.8"/>
    <n v="83.1"/>
    <n v="89"/>
  </r>
  <r>
    <x v="9"/>
    <x v="17"/>
    <s v="ANA"/>
    <s v="JPN"/>
    <x v="2"/>
    <x v="0"/>
    <n v="18.72"/>
    <n v="5.9"/>
    <n v="1.61"/>
    <n v="28.1"/>
    <n v="81.599999999999994"/>
    <n v="93"/>
  </r>
  <r>
    <x v="10"/>
    <x v="17"/>
    <s v="ANA"/>
    <s v="JPN"/>
    <x v="2"/>
    <x v="0"/>
    <n v="6.53"/>
    <n v="5.9"/>
    <n v="-2.21"/>
    <n v="9.8000000000000007"/>
    <n v="51.9"/>
    <n v="32"/>
  </r>
  <r>
    <x v="11"/>
    <x v="17"/>
    <s v="ANA"/>
    <s v="JPN"/>
    <x v="2"/>
    <x v="0"/>
    <n v="9.41"/>
    <n v="5.9"/>
    <n v="-1.67"/>
    <n v="14.1"/>
    <n v="69.7"/>
    <n v="47"/>
  </r>
  <r>
    <x v="12"/>
    <x v="17"/>
    <s v="ANA"/>
    <s v="JPN"/>
    <x v="2"/>
    <x v="0"/>
    <n v="15.73"/>
    <n v="5.9"/>
    <n v="7.0000000000000007E-2"/>
    <n v="23.6"/>
    <n v="87.1"/>
    <n v="78"/>
  </r>
  <r>
    <x v="13"/>
    <x v="17"/>
    <s v="ANA"/>
    <s v="JPN"/>
    <x v="2"/>
    <x v="0"/>
    <n v="16.59"/>
    <n v="5.9"/>
    <n v="0.8"/>
    <n v="24.9"/>
    <n v="83.1"/>
    <n v="82"/>
  </r>
  <r>
    <x v="14"/>
    <x v="17"/>
    <s v="ANA"/>
    <s v="JPN"/>
    <x v="2"/>
    <x v="0"/>
    <n v="16.940000000000001"/>
    <n v="5.9"/>
    <n v="1.04"/>
    <n v="25.4"/>
    <n v="83.8"/>
    <n v="84"/>
  </r>
  <r>
    <x v="15"/>
    <x v="17"/>
    <s v="ANA"/>
    <s v="JPN"/>
    <x v="2"/>
    <x v="0"/>
    <n v="18.809999999999999"/>
    <n v="5.9"/>
    <n v="1.21"/>
    <n v="28.2"/>
    <n v="85"/>
    <n v="94"/>
  </r>
  <r>
    <x v="16"/>
    <x v="17"/>
    <s v="ANA"/>
    <s v="JPN"/>
    <x v="2"/>
    <x v="0"/>
    <n v="20.190000000000001"/>
    <n v="5.9"/>
    <n v="1.94"/>
    <n v="30.3"/>
    <n v="84.1"/>
    <n v="100"/>
  </r>
  <r>
    <x v="0"/>
    <x v="18"/>
    <s v="SIA"/>
    <s v="SGP"/>
    <x v="2"/>
    <x v="0"/>
    <n v="11.46"/>
    <n v="5.9"/>
    <n v="0.15"/>
    <n v="17.2"/>
    <n v="82.4"/>
    <n v="57"/>
  </r>
  <r>
    <x v="1"/>
    <x v="18"/>
    <s v="SIA"/>
    <s v="SGP"/>
    <x v="2"/>
    <x v="0"/>
    <n v="10.72"/>
    <n v="5.9"/>
    <n v="0.67"/>
    <n v="16.100000000000001"/>
    <n v="81.900000000000006"/>
    <n v="53"/>
  </r>
  <r>
    <x v="2"/>
    <x v="18"/>
    <s v="SIA"/>
    <s v="SGP"/>
    <x v="2"/>
    <x v="0"/>
    <n v="10.95"/>
    <n v="5.9"/>
    <n v="1.17"/>
    <n v="16.399999999999999"/>
    <n v="82.7"/>
    <n v="54"/>
  </r>
  <r>
    <x v="3"/>
    <x v="18"/>
    <s v="SIA"/>
    <s v="SGP"/>
    <x v="2"/>
    <x v="0"/>
    <n v="11.14"/>
    <n v="5.9"/>
    <n v="0.6"/>
    <n v="16.7"/>
    <n v="83.2"/>
    <n v="55"/>
  </r>
  <r>
    <x v="4"/>
    <x v="18"/>
    <s v="SIA"/>
    <s v="SGP"/>
    <x v="2"/>
    <x v="0"/>
    <n v="11"/>
    <n v="5.9"/>
    <n v="0.78"/>
    <n v="16.5"/>
    <n v="85.3"/>
    <n v="55"/>
  </r>
  <r>
    <x v="5"/>
    <x v="18"/>
    <s v="SIA"/>
    <s v="SGP"/>
    <x v="2"/>
    <x v="0"/>
    <n v="11.56"/>
    <n v="5.9"/>
    <n v="0.78"/>
    <n v="17.3"/>
    <n v="84.2"/>
    <n v="57"/>
  </r>
  <r>
    <x v="6"/>
    <x v="18"/>
    <s v="SIA"/>
    <s v="SGP"/>
    <x v="2"/>
    <x v="0"/>
    <n v="10.92"/>
    <n v="5.9"/>
    <n v="0.63"/>
    <n v="16.399999999999999"/>
    <n v="84.9"/>
    <n v="54"/>
  </r>
  <r>
    <x v="7"/>
    <x v="18"/>
    <s v="SIA"/>
    <s v="SGP"/>
    <x v="2"/>
    <x v="0"/>
    <n v="11.91"/>
    <n v="5.9"/>
    <n v="0.78"/>
    <n v="17.899999999999999"/>
    <n v="84.8"/>
    <n v="59"/>
  </r>
  <r>
    <x v="8"/>
    <x v="18"/>
    <s v="SIA"/>
    <s v="SGP"/>
    <x v="2"/>
    <x v="0"/>
    <n v="12.08"/>
    <n v="5.9"/>
    <n v="1.0900000000000001"/>
    <n v="18.100000000000001"/>
    <n v="83.6"/>
    <n v="60"/>
  </r>
  <r>
    <x v="9"/>
    <x v="18"/>
    <s v="SIA"/>
    <s v="SGP"/>
    <x v="2"/>
    <x v="0"/>
    <n v="11.87"/>
    <n v="5.9"/>
    <n v="0.81"/>
    <n v="17.8"/>
    <n v="77.099999999999994"/>
    <n v="59"/>
  </r>
  <r>
    <x v="10"/>
    <x v="18"/>
    <s v="SIA"/>
    <s v="SGP"/>
    <x v="2"/>
    <x v="0"/>
    <n v="2.93"/>
    <n v="5.9"/>
    <n v="-1.29"/>
    <n v="4.4000000000000004"/>
    <n v="51.6"/>
    <n v="14"/>
  </r>
  <r>
    <x v="11"/>
    <x v="18"/>
    <s v="SIA"/>
    <s v="SGP"/>
    <x v="2"/>
    <x v="0"/>
    <n v="3.04"/>
    <n v="5.9"/>
    <n v="-0.51"/>
    <n v="4.5999999999999996"/>
    <n v="67.7"/>
    <n v="15"/>
  </r>
  <r>
    <x v="12"/>
    <x v="18"/>
    <s v="SIA"/>
    <s v="SGP"/>
    <x v="2"/>
    <x v="0"/>
    <n v="10.38"/>
    <n v="5.9"/>
    <n v="0.56000000000000005"/>
    <n v="15.6"/>
    <n v="82"/>
    <n v="51"/>
  </r>
  <r>
    <x v="13"/>
    <x v="18"/>
    <s v="SIA"/>
    <s v="SGP"/>
    <x v="2"/>
    <x v="0"/>
    <n v="15.19"/>
    <n v="5.9"/>
    <n v="1.21"/>
    <n v="22.8"/>
    <n v="83.8"/>
    <n v="75"/>
  </r>
  <r>
    <x v="14"/>
    <x v="18"/>
    <s v="SIA"/>
    <s v="SGP"/>
    <x v="2"/>
    <x v="0"/>
    <n v="15.75"/>
    <n v="5.9"/>
    <n v="1.31"/>
    <n v="23.6"/>
    <n v="81"/>
    <n v="78"/>
  </r>
  <r>
    <x v="15"/>
    <x v="18"/>
    <s v="SIA"/>
    <s v="SGP"/>
    <x v="2"/>
    <x v="0"/>
    <n v="16.2"/>
    <n v="5.9"/>
    <n v="1.28"/>
    <n v="24.3"/>
    <n v="80.3"/>
    <n v="80"/>
  </r>
  <r>
    <x v="16"/>
    <x v="18"/>
    <s v="SIA"/>
    <s v="SGP"/>
    <x v="2"/>
    <x v="0"/>
    <n v="17.37"/>
    <n v="5.9"/>
    <n v="0.72"/>
    <n v="26"/>
    <n v="84.8"/>
    <n v="86"/>
  </r>
  <r>
    <x v="0"/>
    <x v="19"/>
    <s v="CPA"/>
    <s v="HKG"/>
    <x v="2"/>
    <x v="0"/>
    <n v="11.01"/>
    <n v="5.9"/>
    <n v="0.57999999999999996"/>
    <n v="16.5"/>
    <n v="82.8"/>
    <n v="55"/>
  </r>
  <r>
    <x v="1"/>
    <x v="19"/>
    <s v="CPA"/>
    <s v="HKG"/>
    <x v="2"/>
    <x v="0"/>
    <n v="11.44"/>
    <n v="5.9"/>
    <n v="0.86"/>
    <n v="17.2"/>
    <n v="81"/>
    <n v="57"/>
  </r>
  <r>
    <x v="2"/>
    <x v="19"/>
    <s v="CPA"/>
    <s v="HKG"/>
    <x v="2"/>
    <x v="0"/>
    <n v="11.36"/>
    <n v="5.9"/>
    <n v="1"/>
    <n v="17"/>
    <n v="82.2"/>
    <n v="56"/>
  </r>
  <r>
    <x v="3"/>
    <x v="19"/>
    <s v="CPA"/>
    <s v="HKG"/>
    <x v="2"/>
    <x v="0"/>
    <n v="11.58"/>
    <n v="5.9"/>
    <n v="0.82"/>
    <n v="17.399999999999999"/>
    <n v="83.9"/>
    <n v="57"/>
  </r>
  <r>
    <x v="4"/>
    <x v="19"/>
    <s v="CPA"/>
    <s v="HKG"/>
    <x v="2"/>
    <x v="0"/>
    <n v="11.88"/>
    <n v="5.9"/>
    <n v="0.78"/>
    <n v="17.8"/>
    <n v="84.5"/>
    <n v="59"/>
  </r>
  <r>
    <x v="5"/>
    <x v="19"/>
    <s v="CPA"/>
    <s v="HKG"/>
    <x v="2"/>
    <x v="0"/>
    <n v="12.94"/>
    <n v="5.9"/>
    <n v="0.98"/>
    <n v="19.399999999999999"/>
    <n v="80.2"/>
    <n v="64"/>
  </r>
  <r>
    <x v="6"/>
    <x v="19"/>
    <s v="CPA"/>
    <s v="HKG"/>
    <x v="2"/>
    <x v="0"/>
    <n v="13.33"/>
    <n v="5.9"/>
    <n v="0.7"/>
    <n v="20"/>
    <n v="82"/>
    <n v="66"/>
  </r>
  <r>
    <x v="7"/>
    <x v="19"/>
    <s v="CPA"/>
    <s v="HKG"/>
    <x v="2"/>
    <x v="0"/>
    <n v="13.96"/>
    <n v="5.9"/>
    <n v="1.35"/>
    <n v="20.9"/>
    <n v="86.6"/>
    <n v="69"/>
  </r>
  <r>
    <x v="8"/>
    <x v="19"/>
    <s v="CPA"/>
    <s v="HKG"/>
    <x v="2"/>
    <x v="0"/>
    <n v="14.56"/>
    <n v="5.9"/>
    <n v="0.83"/>
    <n v="21.8"/>
    <n v="83.7"/>
    <n v="72"/>
  </r>
  <r>
    <x v="9"/>
    <x v="19"/>
    <s v="CPA"/>
    <s v="HKG"/>
    <x v="2"/>
    <x v="0"/>
    <n v="14.02"/>
    <n v="5.9"/>
    <n v="0.88"/>
    <n v="21"/>
    <n v="83.3"/>
    <n v="70"/>
  </r>
  <r>
    <x v="10"/>
    <x v="19"/>
    <s v="CPA"/>
    <s v="HKG"/>
    <x v="2"/>
    <x v="0"/>
    <n v="5.84"/>
    <n v="5.9"/>
    <n v="-2.0499999999999998"/>
    <n v="8.8000000000000007"/>
    <n v="53.5"/>
    <n v="29"/>
  </r>
  <r>
    <x v="11"/>
    <x v="19"/>
    <s v="CPA"/>
    <s v="HKG"/>
    <x v="2"/>
    <x v="0"/>
    <n v="5.63"/>
    <n v="5.9"/>
    <n v="-0.92"/>
    <n v="8.4"/>
    <n v="70"/>
    <n v="28"/>
  </r>
  <r>
    <x v="12"/>
    <x v="19"/>
    <s v="CPA"/>
    <s v="HKG"/>
    <x v="2"/>
    <x v="0"/>
    <n v="6.16"/>
    <n v="5.9"/>
    <n v="0.23"/>
    <n v="9.1999999999999993"/>
    <n v="82.3"/>
    <n v="30"/>
  </r>
  <r>
    <x v="13"/>
    <x v="19"/>
    <s v="CPA"/>
    <s v="HKG"/>
    <x v="2"/>
    <x v="0"/>
    <n v="12.99"/>
    <n v="5.9"/>
    <n v="1.1599999999999999"/>
    <n v="19.5"/>
    <n v="80.5"/>
    <n v="64"/>
  </r>
  <r>
    <x v="14"/>
    <x v="19"/>
    <s v="CPA"/>
    <s v="HKG"/>
    <x v="2"/>
    <x v="0"/>
    <n v="14.1"/>
    <n v="5.9"/>
    <n v="0.95"/>
    <n v="21.1"/>
    <n v="79.7"/>
    <n v="70"/>
  </r>
  <r>
    <x v="15"/>
    <x v="19"/>
    <s v="CPA"/>
    <s v="HKG"/>
    <x v="2"/>
    <x v="0"/>
    <n v="14.05"/>
    <n v="5.9"/>
    <n v="0.77"/>
    <n v="21.1"/>
    <n v="83.1"/>
    <n v="70"/>
  </r>
  <r>
    <x v="16"/>
    <x v="19"/>
    <s v="CPA"/>
    <s v="HKG"/>
    <x v="2"/>
    <x v="0"/>
    <n v="15.37"/>
    <n v="5.9"/>
    <n v="0.79"/>
    <n v="23.1"/>
    <n v="84.2"/>
    <n v="76"/>
  </r>
  <r>
    <x v="0"/>
    <x v="20"/>
    <s v="KAL"/>
    <s v="KOR"/>
    <x v="2"/>
    <x v="0"/>
    <n v="10.41"/>
    <n v="5.9"/>
    <n v="0.71"/>
    <n v="15.6"/>
    <n v="83.8"/>
    <n v="52"/>
  </r>
  <r>
    <x v="1"/>
    <x v="20"/>
    <s v="KAL"/>
    <s v="KOR"/>
    <x v="2"/>
    <x v="0"/>
    <n v="10.53"/>
    <n v="5.9"/>
    <n v="0.08"/>
    <n v="15.8"/>
    <n v="82.3"/>
    <n v="52"/>
  </r>
  <r>
    <x v="2"/>
    <x v="20"/>
    <s v="KAL"/>
    <s v="KOR"/>
    <x v="2"/>
    <x v="0"/>
    <n v="9.7200000000000006"/>
    <n v="5.9"/>
    <n v="0.59"/>
    <n v="14.6"/>
    <n v="83"/>
    <n v="48"/>
  </r>
  <r>
    <x v="3"/>
    <x v="20"/>
    <s v="KAL"/>
    <s v="KOR"/>
    <x v="2"/>
    <x v="0"/>
    <n v="10.75"/>
    <n v="5.9"/>
    <n v="0.96"/>
    <n v="16.100000000000001"/>
    <n v="83.4"/>
    <n v="53"/>
  </r>
  <r>
    <x v="4"/>
    <x v="20"/>
    <s v="KAL"/>
    <s v="KOR"/>
    <x v="2"/>
    <x v="0"/>
    <n v="10.3"/>
    <n v="5.9"/>
    <n v="0.74"/>
    <n v="15.5"/>
    <n v="81.900000000000006"/>
    <n v="51"/>
  </r>
  <r>
    <x v="5"/>
    <x v="20"/>
    <s v="KAL"/>
    <s v="KOR"/>
    <x v="2"/>
    <x v="0"/>
    <n v="10.5"/>
    <n v="5.9"/>
    <n v="0.89"/>
    <n v="15.7"/>
    <n v="81.900000000000006"/>
    <n v="52"/>
  </r>
  <r>
    <x v="6"/>
    <x v="20"/>
    <s v="KAL"/>
    <s v="KOR"/>
    <x v="2"/>
    <x v="0"/>
    <n v="10.93"/>
    <n v="5.9"/>
    <n v="0.84"/>
    <n v="16.399999999999999"/>
    <n v="81.099999999999994"/>
    <n v="54"/>
  </r>
  <r>
    <x v="7"/>
    <x v="20"/>
    <s v="KAL"/>
    <s v="KOR"/>
    <x v="2"/>
    <x v="0"/>
    <n v="11.15"/>
    <n v="5.9"/>
    <n v="0.86"/>
    <n v="16.7"/>
    <n v="83.2"/>
    <n v="55"/>
  </r>
  <r>
    <x v="8"/>
    <x v="20"/>
    <s v="KAL"/>
    <s v="KOR"/>
    <x v="2"/>
    <x v="0"/>
    <n v="10.75"/>
    <n v="5.9"/>
    <n v="0.41"/>
    <n v="16.100000000000001"/>
    <n v="81.900000000000006"/>
    <n v="53"/>
  </r>
  <r>
    <x v="9"/>
    <x v="20"/>
    <s v="KAL"/>
    <s v="KOR"/>
    <x v="2"/>
    <x v="0"/>
    <n v="10.77"/>
    <n v="5.9"/>
    <n v="0.39"/>
    <n v="16.2"/>
    <n v="83.9"/>
    <n v="53"/>
  </r>
  <r>
    <x v="10"/>
    <x v="20"/>
    <s v="KAL"/>
    <s v="KOR"/>
    <x v="2"/>
    <x v="0"/>
    <n v="5.97"/>
    <n v="5.9"/>
    <n v="-2.12"/>
    <n v="9"/>
    <n v="55.2"/>
    <n v="29"/>
  </r>
  <r>
    <x v="11"/>
    <x v="20"/>
    <s v="KAL"/>
    <s v="KOR"/>
    <x v="2"/>
    <x v="0"/>
    <n v="7.96"/>
    <n v="5.9"/>
    <n v="-1.71"/>
    <n v="11.9"/>
    <n v="72.900000000000006"/>
    <n v="39"/>
  </r>
  <r>
    <x v="12"/>
    <x v="20"/>
    <s v="KAL"/>
    <s v="KOR"/>
    <x v="2"/>
    <x v="0"/>
    <n v="10.75"/>
    <n v="5.9"/>
    <n v="0.33"/>
    <n v="16.100000000000001"/>
    <n v="83.2"/>
    <n v="53"/>
  </r>
  <r>
    <x v="13"/>
    <x v="20"/>
    <s v="KAL"/>
    <s v="KOR"/>
    <x v="2"/>
    <x v="0"/>
    <n v="11.76"/>
    <n v="5.9"/>
    <n v="0.9"/>
    <n v="17.600000000000001"/>
    <n v="85.9"/>
    <n v="58"/>
  </r>
  <r>
    <x v="14"/>
    <x v="20"/>
    <s v="KAL"/>
    <s v="KOR"/>
    <x v="2"/>
    <x v="0"/>
    <n v="12.33"/>
    <n v="5.9"/>
    <n v="1.34"/>
    <n v="18.5"/>
    <n v="81.7"/>
    <n v="61"/>
  </r>
  <r>
    <x v="15"/>
    <x v="20"/>
    <s v="KAL"/>
    <s v="KOR"/>
    <x v="2"/>
    <x v="0"/>
    <n v="13.23"/>
    <n v="5.9"/>
    <n v="0.7"/>
    <n v="19.8"/>
    <n v="83.9"/>
    <n v="66"/>
  </r>
  <r>
    <x v="16"/>
    <x v="20"/>
    <s v="KAL"/>
    <s v="KOR"/>
    <x v="2"/>
    <x v="0"/>
    <n v="14.62"/>
    <n v="5.9"/>
    <n v="0.85"/>
    <n v="21.9"/>
    <n v="82.6"/>
    <n v="73"/>
  </r>
  <r>
    <x v="0"/>
    <x v="21"/>
    <s v="IGO"/>
    <s v="IND"/>
    <x v="2"/>
    <x v="1"/>
    <n v="0.87"/>
    <n v="5.9"/>
    <n v="0.1"/>
    <n v="3.5"/>
    <n v="83.8"/>
    <n v="4"/>
  </r>
  <r>
    <x v="1"/>
    <x v="21"/>
    <s v="IGO"/>
    <s v="IND"/>
    <x v="2"/>
    <x v="1"/>
    <n v="1.1499999999999999"/>
    <n v="5.9"/>
    <n v="0.14000000000000001"/>
    <n v="4.5999999999999996"/>
    <n v="89.6"/>
    <n v="5"/>
  </r>
  <r>
    <x v="2"/>
    <x v="21"/>
    <s v="IGO"/>
    <s v="IND"/>
    <x v="2"/>
    <x v="1"/>
    <n v="1.59"/>
    <n v="5.9"/>
    <n v="0.17"/>
    <n v="6.4"/>
    <n v="89.9"/>
    <n v="7"/>
  </r>
  <r>
    <x v="3"/>
    <x v="21"/>
    <s v="IGO"/>
    <s v="IND"/>
    <x v="2"/>
    <x v="1"/>
    <n v="1.75"/>
    <n v="5.9"/>
    <n v="0.2"/>
    <n v="7"/>
    <n v="87.9"/>
    <n v="8"/>
  </r>
  <r>
    <x v="4"/>
    <x v="21"/>
    <s v="IGO"/>
    <s v="IND"/>
    <x v="2"/>
    <x v="1"/>
    <n v="2.02"/>
    <n v="5.9"/>
    <n v="0.25"/>
    <n v="8.1"/>
    <n v="86.2"/>
    <n v="10"/>
  </r>
  <r>
    <x v="5"/>
    <x v="21"/>
    <s v="IGO"/>
    <s v="IND"/>
    <x v="2"/>
    <x v="1"/>
    <n v="2.21"/>
    <n v="5.9"/>
    <n v="0.18"/>
    <n v="8.8000000000000007"/>
    <n v="88.3"/>
    <n v="11"/>
  </r>
  <r>
    <x v="6"/>
    <x v="21"/>
    <s v="IGO"/>
    <s v="IND"/>
    <x v="2"/>
    <x v="1"/>
    <n v="2.71"/>
    <n v="5.9"/>
    <n v="0.28000000000000003"/>
    <n v="10.8"/>
    <n v="87"/>
    <n v="13"/>
  </r>
  <r>
    <x v="7"/>
    <x v="21"/>
    <s v="IGO"/>
    <s v="IND"/>
    <x v="2"/>
    <x v="1"/>
    <n v="3.24"/>
    <n v="5.9"/>
    <n v="0.4"/>
    <n v="13"/>
    <n v="85.7"/>
    <n v="16"/>
  </r>
  <r>
    <x v="8"/>
    <x v="21"/>
    <s v="IGO"/>
    <s v="IND"/>
    <x v="2"/>
    <x v="1"/>
    <n v="3.73"/>
    <n v="5.9"/>
    <n v="0.6"/>
    <n v="14.9"/>
    <n v="88"/>
    <n v="18"/>
  </r>
  <r>
    <x v="9"/>
    <x v="21"/>
    <s v="IGO"/>
    <s v="IND"/>
    <x v="2"/>
    <x v="1"/>
    <n v="5.05"/>
    <n v="5.9"/>
    <n v="0.76"/>
    <n v="20.2"/>
    <n v="89.3"/>
    <n v="25"/>
  </r>
  <r>
    <x v="10"/>
    <x v="21"/>
    <s v="IGO"/>
    <s v="IND"/>
    <x v="2"/>
    <x v="1"/>
    <n v="2.04"/>
    <n v="5.9"/>
    <n v="-0.68"/>
    <n v="8.1"/>
    <n v="56"/>
    <n v="10"/>
  </r>
  <r>
    <x v="11"/>
    <x v="21"/>
    <s v="IGO"/>
    <s v="IND"/>
    <x v="2"/>
    <x v="1"/>
    <n v="1.84"/>
    <n v="5.9"/>
    <n v="-0.3"/>
    <n v="7.4"/>
    <n v="67.3"/>
    <n v="9"/>
  </r>
  <r>
    <x v="12"/>
    <x v="21"/>
    <s v="IGO"/>
    <s v="IND"/>
    <x v="2"/>
    <x v="1"/>
    <n v="5.18"/>
    <n v="5.9"/>
    <n v="0.27"/>
    <n v="20.7"/>
    <n v="88.7"/>
    <n v="25"/>
  </r>
  <r>
    <x v="13"/>
    <x v="21"/>
    <s v="IGO"/>
    <s v="IND"/>
    <x v="2"/>
    <x v="1"/>
    <n v="7.53"/>
    <n v="5.9"/>
    <n v="0.85"/>
    <n v="30.1"/>
    <n v="84.7"/>
    <n v="37"/>
  </r>
  <r>
    <x v="14"/>
    <x v="21"/>
    <s v="IGO"/>
    <s v="IND"/>
    <x v="2"/>
    <x v="1"/>
    <n v="8.34"/>
    <n v="5.9"/>
    <n v="1.02"/>
    <n v="33.4"/>
    <n v="87.2"/>
    <n v="41"/>
  </r>
  <r>
    <x v="15"/>
    <x v="21"/>
    <s v="IGO"/>
    <s v="IND"/>
    <x v="2"/>
    <x v="1"/>
    <n v="9.52"/>
    <n v="5.9"/>
    <n v="1.06"/>
    <n v="38.1"/>
    <n v="87.7"/>
    <n v="47"/>
  </r>
  <r>
    <x v="16"/>
    <x v="21"/>
    <s v="IGO"/>
    <s v="IND"/>
    <x v="2"/>
    <x v="1"/>
    <n v="9.7100000000000009"/>
    <n v="5.9"/>
    <n v="1.27"/>
    <n v="38.799999999999997"/>
    <n v="87"/>
    <n v="48"/>
  </r>
  <r>
    <x v="0"/>
    <x v="22"/>
    <s v="AIA"/>
    <s v="MYS"/>
    <x v="2"/>
    <x v="1"/>
    <n v="1.17"/>
    <n v="5.9"/>
    <n v="0.13"/>
    <n v="4.7"/>
    <n v="86.6"/>
    <n v="5"/>
  </r>
  <r>
    <x v="1"/>
    <x v="22"/>
    <s v="AIA"/>
    <s v="MYS"/>
    <x v="2"/>
    <x v="1"/>
    <n v="1.29"/>
    <n v="5.9"/>
    <n v="0.21"/>
    <n v="5.2"/>
    <n v="86.8"/>
    <n v="6"/>
  </r>
  <r>
    <x v="2"/>
    <x v="22"/>
    <s v="AIA"/>
    <s v="MYS"/>
    <x v="2"/>
    <x v="1"/>
    <n v="1.39"/>
    <n v="5.9"/>
    <n v="0.09"/>
    <n v="5.6"/>
    <n v="85.2"/>
    <n v="6"/>
  </r>
  <r>
    <x v="3"/>
    <x v="22"/>
    <s v="AIA"/>
    <s v="MYS"/>
    <x v="2"/>
    <x v="1"/>
    <n v="1.49"/>
    <n v="5.9"/>
    <n v="0.15"/>
    <n v="6"/>
    <n v="89.8"/>
    <n v="7"/>
  </r>
  <r>
    <x v="4"/>
    <x v="22"/>
    <s v="AIA"/>
    <s v="MYS"/>
    <x v="2"/>
    <x v="1"/>
    <n v="1.59"/>
    <n v="5.9"/>
    <n v="0.24"/>
    <n v="6.4"/>
    <n v="87.1"/>
    <n v="7"/>
  </r>
  <r>
    <x v="5"/>
    <x v="22"/>
    <s v="AIA"/>
    <s v="MYS"/>
    <x v="2"/>
    <x v="1"/>
    <n v="1.7"/>
    <n v="5.9"/>
    <n v="0.2"/>
    <n v="6.8"/>
    <n v="87"/>
    <n v="8"/>
  </r>
  <r>
    <x v="6"/>
    <x v="22"/>
    <s v="AIA"/>
    <s v="MYS"/>
    <x v="2"/>
    <x v="1"/>
    <n v="2.25"/>
    <n v="5.9"/>
    <n v="0.14000000000000001"/>
    <n v="9"/>
    <n v="83"/>
    <n v="11"/>
  </r>
  <r>
    <x v="7"/>
    <x v="22"/>
    <s v="AIA"/>
    <s v="MYS"/>
    <x v="2"/>
    <x v="1"/>
    <n v="2.5299999999999998"/>
    <n v="5.9"/>
    <n v="0.3"/>
    <n v="10.1"/>
    <n v="88.4"/>
    <n v="12"/>
  </r>
  <r>
    <x v="8"/>
    <x v="22"/>
    <s v="AIA"/>
    <s v="MYS"/>
    <x v="2"/>
    <x v="1"/>
    <n v="3.04"/>
    <n v="5.9"/>
    <n v="0.34"/>
    <n v="12.2"/>
    <n v="89"/>
    <n v="15"/>
  </r>
  <r>
    <x v="9"/>
    <x v="22"/>
    <s v="AIA"/>
    <s v="MYS"/>
    <x v="2"/>
    <x v="1"/>
    <n v="3.2"/>
    <n v="5.9"/>
    <n v="0.4"/>
    <n v="12.8"/>
    <n v="88.9"/>
    <n v="15"/>
  </r>
  <r>
    <x v="10"/>
    <x v="22"/>
    <s v="AIA"/>
    <s v="MYS"/>
    <x v="2"/>
    <x v="1"/>
    <n v="0.71"/>
    <n v="5.9"/>
    <n v="-0.26"/>
    <n v="2.8"/>
    <n v="56.4"/>
    <n v="3"/>
  </r>
  <r>
    <x v="11"/>
    <x v="22"/>
    <s v="AIA"/>
    <s v="MYS"/>
    <x v="2"/>
    <x v="1"/>
    <n v="0.5"/>
    <n v="5.9"/>
    <n v="-0.09"/>
    <n v="2"/>
    <n v="72.900000000000006"/>
    <n v="2"/>
  </r>
  <r>
    <x v="12"/>
    <x v="22"/>
    <s v="AIA"/>
    <s v="MYS"/>
    <x v="2"/>
    <x v="1"/>
    <n v="1.58"/>
    <n v="5.9"/>
    <n v="-0.02"/>
    <n v="6.3"/>
    <n v="84.6"/>
    <n v="7"/>
  </r>
  <r>
    <x v="13"/>
    <x v="22"/>
    <s v="AIA"/>
    <s v="MYS"/>
    <x v="2"/>
    <x v="1"/>
    <n v="3.96"/>
    <n v="5.9"/>
    <n v="0.45"/>
    <n v="15.8"/>
    <n v="84"/>
    <n v="19"/>
  </r>
  <r>
    <x v="14"/>
    <x v="22"/>
    <s v="AIA"/>
    <s v="MYS"/>
    <x v="2"/>
    <x v="1"/>
    <n v="4.37"/>
    <n v="5.9"/>
    <n v="0.43"/>
    <n v="17.5"/>
    <n v="91.9"/>
    <n v="21"/>
  </r>
  <r>
    <x v="15"/>
    <x v="22"/>
    <s v="AIA"/>
    <s v="MYS"/>
    <x v="2"/>
    <x v="1"/>
    <n v="5.12"/>
    <n v="5.9"/>
    <n v="0.56000000000000005"/>
    <n v="20.5"/>
    <n v="86.3"/>
    <n v="25"/>
  </r>
  <r>
    <x v="16"/>
    <x v="22"/>
    <s v="AIA"/>
    <s v="MYS"/>
    <x v="2"/>
    <x v="1"/>
    <n v="5.0199999999999996"/>
    <n v="5.9"/>
    <n v="0.36"/>
    <n v="20.100000000000001"/>
    <n v="86.8"/>
    <n v="25"/>
  </r>
  <r>
    <x v="0"/>
    <x v="23"/>
    <s v="EK"/>
    <s v="ARE"/>
    <x v="3"/>
    <x v="0"/>
    <n v="13.59"/>
    <n v="5.9"/>
    <n v="0.79"/>
    <n v="20.399999999999999"/>
    <n v="79.8"/>
    <n v="67"/>
  </r>
  <r>
    <x v="1"/>
    <x v="23"/>
    <s v="EK"/>
    <s v="ARE"/>
    <x v="3"/>
    <x v="0"/>
    <n v="15.64"/>
    <n v="5.9"/>
    <n v="1"/>
    <n v="23.5"/>
    <n v="83.7"/>
    <n v="78"/>
  </r>
  <r>
    <x v="2"/>
    <x v="23"/>
    <s v="EK"/>
    <s v="ARE"/>
    <x v="3"/>
    <x v="0"/>
    <n v="18.23"/>
    <n v="5.9"/>
    <n v="0.49"/>
    <n v="27.3"/>
    <n v="84.7"/>
    <n v="91"/>
  </r>
  <r>
    <x v="3"/>
    <x v="23"/>
    <s v="EK"/>
    <s v="ARE"/>
    <x v="3"/>
    <x v="0"/>
    <n v="19.53"/>
    <n v="5.9"/>
    <n v="1.48"/>
    <n v="29.3"/>
    <n v="83"/>
    <n v="97"/>
  </r>
  <r>
    <x v="4"/>
    <x v="23"/>
    <s v="EK"/>
    <s v="ARE"/>
    <x v="3"/>
    <x v="0"/>
    <n v="21.11"/>
    <n v="5.9"/>
    <n v="1.1000000000000001"/>
    <n v="31.7"/>
    <n v="83.7"/>
    <n v="105"/>
  </r>
  <r>
    <x v="5"/>
    <x v="23"/>
    <s v="EK"/>
    <s v="ARE"/>
    <x v="3"/>
    <x v="0"/>
    <n v="24.45"/>
    <n v="5.9"/>
    <n v="1.38"/>
    <n v="36.700000000000003"/>
    <n v="86.1"/>
    <n v="122"/>
  </r>
  <r>
    <x v="6"/>
    <x v="23"/>
    <s v="EK"/>
    <s v="ARE"/>
    <x v="3"/>
    <x v="0"/>
    <n v="25.15"/>
    <n v="5.9"/>
    <n v="1.35"/>
    <n v="37.700000000000003"/>
    <n v="84.5"/>
    <n v="125"/>
  </r>
  <r>
    <x v="7"/>
    <x v="23"/>
    <s v="EK"/>
    <s v="ARE"/>
    <x v="3"/>
    <x v="0"/>
    <n v="26.28"/>
    <n v="5.9"/>
    <n v="2.86"/>
    <n v="39.4"/>
    <n v="80.5"/>
    <n v="131"/>
  </r>
  <r>
    <x v="8"/>
    <x v="23"/>
    <s v="EK"/>
    <s v="ARE"/>
    <x v="3"/>
    <x v="0"/>
    <n v="24.51"/>
    <n v="5.9"/>
    <n v="2.38"/>
    <n v="36.799999999999997"/>
    <n v="80.900000000000006"/>
    <n v="122"/>
  </r>
  <r>
    <x v="9"/>
    <x v="23"/>
    <s v="EK"/>
    <s v="ARE"/>
    <x v="3"/>
    <x v="0"/>
    <n v="25.85"/>
    <n v="5.9"/>
    <n v="1.24"/>
    <n v="38.799999999999997"/>
    <n v="83.8"/>
    <n v="129"/>
  </r>
  <r>
    <x v="10"/>
    <x v="23"/>
    <s v="EK"/>
    <s v="ARE"/>
    <x v="3"/>
    <x v="0"/>
    <n v="8.3699999999999992"/>
    <n v="5.9"/>
    <n v="-3.07"/>
    <n v="12.6"/>
    <n v="53.7"/>
    <n v="41"/>
  </r>
  <r>
    <x v="11"/>
    <x v="23"/>
    <s v="EK"/>
    <s v="ARE"/>
    <x v="3"/>
    <x v="0"/>
    <n v="13.41"/>
    <n v="5.9"/>
    <n v="-2.71"/>
    <n v="20.100000000000001"/>
    <n v="74.599999999999994"/>
    <n v="67"/>
  </r>
  <r>
    <x v="12"/>
    <x v="23"/>
    <s v="EK"/>
    <s v="ARE"/>
    <x v="3"/>
    <x v="0"/>
    <n v="23.21"/>
    <n v="5.9"/>
    <n v="0.98"/>
    <n v="34.799999999999997"/>
    <n v="82"/>
    <n v="116"/>
  </r>
  <r>
    <x v="13"/>
    <x v="23"/>
    <s v="EK"/>
    <s v="ARE"/>
    <x v="3"/>
    <x v="0"/>
    <n v="32.619999999999997"/>
    <n v="5.9"/>
    <n v="2.0299999999999998"/>
    <n v="48.9"/>
    <n v="77.7"/>
    <n v="163"/>
  </r>
  <r>
    <x v="14"/>
    <x v="23"/>
    <s v="EK"/>
    <s v="ARE"/>
    <x v="3"/>
    <x v="0"/>
    <n v="31.66"/>
    <n v="5.9"/>
    <n v="1.1000000000000001"/>
    <n v="47.5"/>
    <n v="78.5"/>
    <n v="158"/>
  </r>
  <r>
    <x v="15"/>
    <x v="23"/>
    <s v="EK"/>
    <s v="ARE"/>
    <x v="3"/>
    <x v="0"/>
    <n v="33.53"/>
    <n v="5.9"/>
    <n v="3.79"/>
    <n v="50.3"/>
    <n v="82.9"/>
    <n v="167"/>
  </r>
  <r>
    <x v="16"/>
    <x v="23"/>
    <s v="EK"/>
    <s v="ARE"/>
    <x v="3"/>
    <x v="0"/>
    <n v="37.94"/>
    <n v="5.9"/>
    <n v="2.67"/>
    <n v="56.9"/>
    <n v="84.6"/>
    <n v="189"/>
  </r>
  <r>
    <x v="0"/>
    <x v="24"/>
    <s v="QR"/>
    <s v="QAT"/>
    <x v="3"/>
    <x v="0"/>
    <n v="7.2"/>
    <n v="5.9"/>
    <n v="0.53"/>
    <n v="10.8"/>
    <n v="84.5"/>
    <n v="36"/>
  </r>
  <r>
    <x v="1"/>
    <x v="24"/>
    <s v="QR"/>
    <s v="QAT"/>
    <x v="3"/>
    <x v="0"/>
    <n v="7.69"/>
    <n v="5.9"/>
    <n v="0.56999999999999995"/>
    <n v="11.5"/>
    <n v="84.1"/>
    <n v="38"/>
  </r>
  <r>
    <x v="2"/>
    <x v="24"/>
    <s v="QR"/>
    <s v="QAT"/>
    <x v="3"/>
    <x v="0"/>
    <n v="8.11"/>
    <n v="5.9"/>
    <n v="0.26"/>
    <n v="12.2"/>
    <n v="80.599999999999994"/>
    <n v="40"/>
  </r>
  <r>
    <x v="3"/>
    <x v="24"/>
    <s v="QR"/>
    <s v="QAT"/>
    <x v="3"/>
    <x v="0"/>
    <n v="8.68"/>
    <n v="5.9"/>
    <n v="0.59"/>
    <n v="13"/>
    <n v="81.400000000000006"/>
    <n v="43"/>
  </r>
  <r>
    <x v="4"/>
    <x v="24"/>
    <s v="QR"/>
    <s v="QAT"/>
    <x v="3"/>
    <x v="0"/>
    <n v="9.09"/>
    <n v="5.9"/>
    <n v="0.67"/>
    <n v="13.6"/>
    <n v="84.2"/>
    <n v="45"/>
  </r>
  <r>
    <x v="5"/>
    <x v="24"/>
    <s v="QR"/>
    <s v="QAT"/>
    <x v="3"/>
    <x v="0"/>
    <n v="9.9499999999999993"/>
    <n v="5.9"/>
    <n v="0.91"/>
    <n v="14.9"/>
    <n v="81"/>
    <n v="49"/>
  </r>
  <r>
    <x v="6"/>
    <x v="24"/>
    <s v="QR"/>
    <s v="QAT"/>
    <x v="3"/>
    <x v="0"/>
    <n v="10.97"/>
    <n v="5.9"/>
    <n v="0.51"/>
    <n v="16.5"/>
    <n v="85.1"/>
    <n v="54"/>
  </r>
  <r>
    <x v="7"/>
    <x v="24"/>
    <s v="QR"/>
    <s v="QAT"/>
    <x v="3"/>
    <x v="0"/>
    <n v="11.39"/>
    <n v="5.9"/>
    <n v="0.56999999999999995"/>
    <n v="17.100000000000001"/>
    <n v="79.400000000000006"/>
    <n v="56"/>
  </r>
  <r>
    <x v="8"/>
    <x v="24"/>
    <s v="QR"/>
    <s v="QAT"/>
    <x v="3"/>
    <x v="0"/>
    <n v="12.24"/>
    <n v="5.9"/>
    <n v="0.26"/>
    <n v="18.399999999999999"/>
    <n v="84.9"/>
    <n v="61"/>
  </r>
  <r>
    <x v="9"/>
    <x v="24"/>
    <s v="QR"/>
    <s v="QAT"/>
    <x v="3"/>
    <x v="0"/>
    <n v="14.86"/>
    <n v="5.9"/>
    <n v="0.6"/>
    <n v="22.3"/>
    <n v="83.6"/>
    <n v="74"/>
  </r>
  <r>
    <x v="10"/>
    <x v="24"/>
    <s v="QR"/>
    <s v="QAT"/>
    <x v="3"/>
    <x v="0"/>
    <n v="7.53"/>
    <n v="5.9"/>
    <n v="-2.76"/>
    <n v="11.3"/>
    <n v="56.5"/>
    <n v="37"/>
  </r>
  <r>
    <x v="11"/>
    <x v="24"/>
    <s v="QR"/>
    <s v="QAT"/>
    <x v="3"/>
    <x v="0"/>
    <n v="14.38"/>
    <n v="5.9"/>
    <n v="-1.96"/>
    <n v="21.6"/>
    <n v="69"/>
    <n v="71"/>
  </r>
  <r>
    <x v="12"/>
    <x v="24"/>
    <s v="QR"/>
    <s v="QAT"/>
    <x v="3"/>
    <x v="0"/>
    <n v="18.55"/>
    <n v="5.9"/>
    <n v="0.42"/>
    <n v="27.8"/>
    <n v="84.6"/>
    <n v="92"/>
  </r>
  <r>
    <x v="13"/>
    <x v="24"/>
    <s v="QR"/>
    <s v="QAT"/>
    <x v="3"/>
    <x v="0"/>
    <n v="20.23"/>
    <n v="5.9"/>
    <n v="1.59"/>
    <n v="30.3"/>
    <n v="82.8"/>
    <n v="101"/>
  </r>
  <r>
    <x v="14"/>
    <x v="24"/>
    <s v="QR"/>
    <s v="QAT"/>
    <x v="3"/>
    <x v="0"/>
    <n v="21.46"/>
    <n v="5.9"/>
    <n v="2.0699999999999998"/>
    <n v="32.200000000000003"/>
    <n v="84.3"/>
    <n v="107"/>
  </r>
  <r>
    <x v="15"/>
    <x v="24"/>
    <s v="QR"/>
    <s v="QAT"/>
    <x v="3"/>
    <x v="0"/>
    <n v="23.92"/>
    <n v="5.9"/>
    <n v="2.83"/>
    <n v="35.9"/>
    <n v="85.9"/>
    <n v="119"/>
  </r>
  <r>
    <x v="16"/>
    <x v="24"/>
    <s v="QR"/>
    <s v="QAT"/>
    <x v="3"/>
    <x v="0"/>
    <n v="24.72"/>
    <n v="5.9"/>
    <n v="1.71"/>
    <n v="37.1"/>
    <n v="81.8"/>
    <n v="123"/>
  </r>
  <r>
    <x v="0"/>
    <x v="25"/>
    <s v="EY"/>
    <s v="ARE"/>
    <x v="3"/>
    <x v="0"/>
    <n v="2.9"/>
    <n v="5.9"/>
    <n v="0.13"/>
    <n v="4.4000000000000004"/>
    <n v="86.2"/>
    <n v="14"/>
  </r>
  <r>
    <x v="1"/>
    <x v="25"/>
    <s v="EY"/>
    <s v="ARE"/>
    <x v="3"/>
    <x v="0"/>
    <n v="4.17"/>
    <n v="5.9"/>
    <n v="0.23"/>
    <n v="6.2"/>
    <n v="85.4"/>
    <n v="20"/>
  </r>
  <r>
    <x v="2"/>
    <x v="25"/>
    <s v="EY"/>
    <s v="ARE"/>
    <x v="3"/>
    <x v="0"/>
    <n v="5"/>
    <n v="5.9"/>
    <n v="0.05"/>
    <n v="7.5"/>
    <n v="84.6"/>
    <n v="25"/>
  </r>
  <r>
    <x v="3"/>
    <x v="25"/>
    <s v="EY"/>
    <s v="ARE"/>
    <x v="3"/>
    <x v="0"/>
    <n v="6.57"/>
    <n v="5.9"/>
    <n v="0.44"/>
    <n v="9.9"/>
    <n v="80.3"/>
    <n v="32"/>
  </r>
  <r>
    <x v="4"/>
    <x v="25"/>
    <s v="EY"/>
    <s v="ARE"/>
    <x v="3"/>
    <x v="0"/>
    <n v="7.77"/>
    <n v="5.9"/>
    <n v="0.86"/>
    <n v="11.7"/>
    <n v="84.6"/>
    <n v="38"/>
  </r>
  <r>
    <x v="5"/>
    <x v="25"/>
    <s v="EY"/>
    <s v="ARE"/>
    <x v="3"/>
    <x v="0"/>
    <n v="9.0500000000000007"/>
    <n v="5.9"/>
    <n v="0.44"/>
    <n v="13.6"/>
    <n v="82.2"/>
    <n v="45"/>
  </r>
  <r>
    <x v="6"/>
    <x v="25"/>
    <s v="EY"/>
    <s v="ARE"/>
    <x v="3"/>
    <x v="0"/>
    <n v="7.47"/>
    <n v="5.9"/>
    <n v="0.5"/>
    <n v="11.2"/>
    <n v="84.7"/>
    <n v="37"/>
  </r>
  <r>
    <x v="7"/>
    <x v="25"/>
    <s v="EY"/>
    <s v="ARE"/>
    <x v="3"/>
    <x v="0"/>
    <n v="6.61"/>
    <n v="5.9"/>
    <n v="0.28999999999999998"/>
    <n v="9.9"/>
    <n v="80.7"/>
    <n v="33"/>
  </r>
  <r>
    <x v="8"/>
    <x v="25"/>
    <s v="EY"/>
    <s v="ARE"/>
    <x v="3"/>
    <x v="0"/>
    <n v="5.73"/>
    <n v="5.9"/>
    <n v="0.35"/>
    <n v="8.6"/>
    <n v="78.8"/>
    <n v="28"/>
  </r>
  <r>
    <x v="9"/>
    <x v="25"/>
    <s v="EY"/>
    <s v="ARE"/>
    <x v="3"/>
    <x v="0"/>
    <n v="5.7"/>
    <n v="5.9"/>
    <n v="0.45"/>
    <n v="8.6"/>
    <n v="82.5"/>
    <n v="28"/>
  </r>
  <r>
    <x v="10"/>
    <x v="25"/>
    <s v="EY"/>
    <s v="ARE"/>
    <x v="3"/>
    <x v="0"/>
    <n v="2.5099999999999998"/>
    <n v="5.9"/>
    <n v="-0.94"/>
    <n v="3.8"/>
    <n v="57.5"/>
    <n v="12"/>
  </r>
  <r>
    <x v="11"/>
    <x v="25"/>
    <s v="EY"/>
    <s v="ARE"/>
    <x v="3"/>
    <x v="0"/>
    <n v="3.5"/>
    <n v="5.9"/>
    <n v="-0.66"/>
    <n v="5.2"/>
    <n v="67.599999999999994"/>
    <n v="17"/>
  </r>
  <r>
    <x v="12"/>
    <x v="25"/>
    <s v="EY"/>
    <s v="ARE"/>
    <x v="3"/>
    <x v="0"/>
    <n v="5.63"/>
    <n v="5.9"/>
    <n v="0.02"/>
    <n v="8.5"/>
    <n v="83.8"/>
    <n v="28"/>
  </r>
  <r>
    <x v="13"/>
    <x v="25"/>
    <s v="EY"/>
    <s v="ARE"/>
    <x v="3"/>
    <x v="0"/>
    <n v="6.61"/>
    <n v="5.9"/>
    <n v="0.83"/>
    <n v="9.9"/>
    <n v="82.6"/>
    <n v="33"/>
  </r>
  <r>
    <x v="14"/>
    <x v="25"/>
    <s v="EY"/>
    <s v="ARE"/>
    <x v="3"/>
    <x v="0"/>
    <n v="7.48"/>
    <n v="5.9"/>
    <n v="0.32"/>
    <n v="11.2"/>
    <n v="85.4"/>
    <n v="37"/>
  </r>
  <r>
    <x v="15"/>
    <x v="25"/>
    <s v="EY"/>
    <s v="ARE"/>
    <x v="3"/>
    <x v="0"/>
    <n v="8.02"/>
    <n v="5.9"/>
    <n v="0.53"/>
    <n v="12"/>
    <n v="83"/>
    <n v="40"/>
  </r>
  <r>
    <x v="16"/>
    <x v="25"/>
    <s v="EY"/>
    <s v="ARE"/>
    <x v="3"/>
    <x v="0"/>
    <n v="8.59"/>
    <n v="5.9"/>
    <n v="0.56000000000000005"/>
    <n v="12.9"/>
    <n v="84.9"/>
    <n v="42"/>
  </r>
  <r>
    <x v="0"/>
    <x v="26"/>
    <s v="SVA"/>
    <s v="SAU"/>
    <x v="3"/>
    <x v="0"/>
    <n v="4.04"/>
    <n v="5.9"/>
    <n v="0.08"/>
    <n v="6.1"/>
    <n v="82.8"/>
    <n v="20"/>
  </r>
  <r>
    <x v="1"/>
    <x v="26"/>
    <s v="SVA"/>
    <s v="SAU"/>
    <x v="3"/>
    <x v="0"/>
    <n v="4.4800000000000004"/>
    <n v="5.9"/>
    <n v="0.06"/>
    <n v="6.7"/>
    <n v="80.900000000000006"/>
    <n v="22"/>
  </r>
  <r>
    <x v="2"/>
    <x v="26"/>
    <s v="SVA"/>
    <s v="SAU"/>
    <x v="3"/>
    <x v="0"/>
    <n v="4.8899999999999997"/>
    <n v="5.9"/>
    <n v="0.33"/>
    <n v="7.3"/>
    <n v="83.8"/>
    <n v="24"/>
  </r>
  <r>
    <x v="3"/>
    <x v="26"/>
    <s v="SVA"/>
    <s v="SAU"/>
    <x v="3"/>
    <x v="0"/>
    <n v="5.43"/>
    <n v="5.9"/>
    <n v="0.39"/>
    <n v="8.1999999999999993"/>
    <n v="84.3"/>
    <n v="27"/>
  </r>
  <r>
    <x v="4"/>
    <x v="26"/>
    <s v="SVA"/>
    <s v="SAU"/>
    <x v="3"/>
    <x v="0"/>
    <n v="5.99"/>
    <n v="5.9"/>
    <n v="0.33"/>
    <n v="9"/>
    <n v="81.400000000000006"/>
    <n v="29"/>
  </r>
  <r>
    <x v="5"/>
    <x v="26"/>
    <s v="SVA"/>
    <s v="SAU"/>
    <x v="3"/>
    <x v="0"/>
    <n v="5.98"/>
    <n v="5.9"/>
    <n v="0.42"/>
    <n v="9"/>
    <n v="81.900000000000006"/>
    <n v="29"/>
  </r>
  <r>
    <x v="6"/>
    <x v="26"/>
    <s v="SVA"/>
    <s v="SAU"/>
    <x v="3"/>
    <x v="0"/>
    <n v="5.91"/>
    <n v="5.9"/>
    <n v="0.7"/>
    <n v="8.9"/>
    <n v="83.7"/>
    <n v="29"/>
  </r>
  <r>
    <x v="7"/>
    <x v="26"/>
    <s v="SVA"/>
    <s v="SAU"/>
    <x v="3"/>
    <x v="0"/>
    <n v="6.16"/>
    <n v="5.9"/>
    <n v="0.51"/>
    <n v="9.1999999999999993"/>
    <n v="82.8"/>
    <n v="30"/>
  </r>
  <r>
    <x v="8"/>
    <x v="26"/>
    <s v="SVA"/>
    <s v="SAU"/>
    <x v="3"/>
    <x v="0"/>
    <n v="6.45"/>
    <n v="5.9"/>
    <n v="0.48"/>
    <n v="9.6999999999999993"/>
    <n v="80.400000000000006"/>
    <n v="32"/>
  </r>
  <r>
    <x v="9"/>
    <x v="26"/>
    <s v="SVA"/>
    <s v="SAU"/>
    <x v="3"/>
    <x v="0"/>
    <n v="6.77"/>
    <n v="5.9"/>
    <n v="0.73"/>
    <n v="10.199999999999999"/>
    <n v="83.9"/>
    <n v="33"/>
  </r>
  <r>
    <x v="10"/>
    <x v="26"/>
    <s v="SVA"/>
    <s v="SAU"/>
    <x v="3"/>
    <x v="0"/>
    <n v="2.57"/>
    <n v="5.9"/>
    <n v="-0.93"/>
    <n v="3.9"/>
    <n v="54.2"/>
    <n v="12"/>
  </r>
  <r>
    <x v="11"/>
    <x v="26"/>
    <s v="SVA"/>
    <s v="SAU"/>
    <x v="3"/>
    <x v="0"/>
    <n v="3.37"/>
    <n v="5.9"/>
    <n v="-0.64"/>
    <n v="5.0999999999999996"/>
    <n v="71.8"/>
    <n v="16"/>
  </r>
  <r>
    <x v="12"/>
    <x v="26"/>
    <s v="SVA"/>
    <s v="SAU"/>
    <x v="3"/>
    <x v="0"/>
    <n v="5.22"/>
    <n v="5.9"/>
    <n v="0.22"/>
    <n v="7.8"/>
    <n v="82.2"/>
    <n v="26"/>
  </r>
  <r>
    <x v="13"/>
    <x v="26"/>
    <s v="SVA"/>
    <s v="SAU"/>
    <x v="3"/>
    <x v="0"/>
    <n v="6.88"/>
    <n v="5.9"/>
    <n v="0.36"/>
    <n v="10.3"/>
    <n v="85.7"/>
    <n v="34"/>
  </r>
  <r>
    <x v="14"/>
    <x v="26"/>
    <s v="SVA"/>
    <s v="SAU"/>
    <x v="3"/>
    <x v="0"/>
    <n v="7.79"/>
    <n v="5.9"/>
    <n v="0.81"/>
    <n v="11.7"/>
    <n v="80"/>
    <n v="38"/>
  </r>
  <r>
    <x v="15"/>
    <x v="26"/>
    <s v="SVA"/>
    <s v="SAU"/>
    <x v="3"/>
    <x v="0"/>
    <n v="8.7100000000000009"/>
    <n v="5.9"/>
    <n v="0.79"/>
    <n v="13.1"/>
    <n v="79.8"/>
    <n v="43"/>
  </r>
  <r>
    <x v="16"/>
    <x v="26"/>
    <s v="SVA"/>
    <s v="SAU"/>
    <x v="3"/>
    <x v="0"/>
    <n v="9.49"/>
    <n v="5.9"/>
    <n v="-1.81"/>
    <n v="14.2"/>
    <n v="84.1"/>
    <n v="47"/>
  </r>
  <r>
    <x v="13"/>
    <x v="27"/>
    <s v="RXI"/>
    <s v="SAU"/>
    <x v="3"/>
    <x v="0"/>
    <n v="0.01"/>
    <n v="5.9"/>
    <n v="0"/>
    <n v="0"/>
    <n v="85.9"/>
    <n v="0"/>
  </r>
  <r>
    <x v="14"/>
    <x v="27"/>
    <s v="RXI"/>
    <s v="SAU"/>
    <x v="3"/>
    <x v="0"/>
    <n v="0.52"/>
    <n v="5.9"/>
    <n v="0"/>
    <n v="0.8"/>
    <n v="82.4"/>
    <n v="2"/>
  </r>
  <r>
    <x v="15"/>
    <x v="27"/>
    <s v="RXI"/>
    <s v="SAU"/>
    <x v="3"/>
    <x v="0"/>
    <n v="1.49"/>
    <n v="5.9"/>
    <n v="0.05"/>
    <n v="2.2000000000000002"/>
    <n v="83.2"/>
    <n v="7"/>
  </r>
  <r>
    <x v="16"/>
    <x v="27"/>
    <s v="RXI"/>
    <s v="SAU"/>
    <x v="3"/>
    <x v="0"/>
    <n v="3.11"/>
    <n v="5.9"/>
    <n v="-0.71"/>
    <n v="4.7"/>
    <n v="83.7"/>
    <n v="15"/>
  </r>
  <r>
    <x v="0"/>
    <x v="28"/>
    <s v="LAN"/>
    <s v="CHL"/>
    <x v="4"/>
    <x v="0"/>
    <n v="4.38"/>
    <n v="5.9"/>
    <n v="0.19"/>
    <n v="6.6"/>
    <n v="86"/>
    <n v="21"/>
  </r>
  <r>
    <x v="1"/>
    <x v="28"/>
    <s v="LAN"/>
    <s v="CHL"/>
    <x v="4"/>
    <x v="0"/>
    <n v="5.53"/>
    <n v="5.9"/>
    <n v="0.4"/>
    <n v="8.3000000000000007"/>
    <n v="79.3"/>
    <n v="27"/>
  </r>
  <r>
    <x v="2"/>
    <x v="28"/>
    <s v="LAN"/>
    <s v="CHL"/>
    <x v="4"/>
    <x v="0"/>
    <n v="7.13"/>
    <n v="5.9"/>
    <n v="0.54"/>
    <n v="10.7"/>
    <n v="82.6"/>
    <n v="35"/>
  </r>
  <r>
    <x v="3"/>
    <x v="28"/>
    <s v="LAN"/>
    <s v="CHL"/>
    <x v="4"/>
    <x v="0"/>
    <n v="8"/>
    <n v="5.9"/>
    <n v="0.2"/>
    <n v="12"/>
    <n v="85.4"/>
    <n v="39"/>
  </r>
  <r>
    <x v="4"/>
    <x v="28"/>
    <s v="LAN"/>
    <s v="CHL"/>
    <x v="4"/>
    <x v="0"/>
    <n v="8.89"/>
    <n v="5.9"/>
    <n v="0.49"/>
    <n v="13.3"/>
    <n v="82"/>
    <n v="44"/>
  </r>
  <r>
    <x v="5"/>
    <x v="28"/>
    <s v="LAN"/>
    <s v="CHL"/>
    <x v="4"/>
    <x v="0"/>
    <n v="9.93"/>
    <n v="5.9"/>
    <n v="0.77"/>
    <n v="14.9"/>
    <n v="83.5"/>
    <n v="49"/>
  </r>
  <r>
    <x v="6"/>
    <x v="28"/>
    <s v="LAN"/>
    <s v="CHL"/>
    <x v="4"/>
    <x v="0"/>
    <n v="10.4"/>
    <n v="5.9"/>
    <n v="0.62"/>
    <n v="15.6"/>
    <n v="84"/>
    <n v="52"/>
  </r>
  <r>
    <x v="7"/>
    <x v="28"/>
    <s v="LAN"/>
    <s v="CHL"/>
    <x v="4"/>
    <x v="0"/>
    <n v="10.17"/>
    <n v="5.9"/>
    <n v="1.18"/>
    <n v="15.3"/>
    <n v="79.900000000000006"/>
    <n v="50"/>
  </r>
  <r>
    <x v="8"/>
    <x v="28"/>
    <s v="LAN"/>
    <s v="CHL"/>
    <x v="4"/>
    <x v="0"/>
    <n v="10.8"/>
    <n v="5.9"/>
    <n v="1.02"/>
    <n v="16.2"/>
    <n v="81.3"/>
    <n v="54"/>
  </r>
  <r>
    <x v="9"/>
    <x v="28"/>
    <s v="LAN"/>
    <s v="CHL"/>
    <x v="4"/>
    <x v="0"/>
    <n v="11.12"/>
    <n v="5.9"/>
    <n v="0.94"/>
    <n v="16.7"/>
    <n v="84.9"/>
    <n v="55"/>
  </r>
  <r>
    <x v="10"/>
    <x v="28"/>
    <s v="LAN"/>
    <s v="CHL"/>
    <x v="4"/>
    <x v="0"/>
    <n v="4.3"/>
    <n v="5.9"/>
    <n v="-1.53"/>
    <n v="6.5"/>
    <n v="54.6"/>
    <n v="21"/>
  </r>
  <r>
    <x v="11"/>
    <x v="28"/>
    <s v="LAN"/>
    <s v="CHL"/>
    <x v="4"/>
    <x v="0"/>
    <n v="5.0599999999999996"/>
    <n v="5.9"/>
    <n v="-0.73"/>
    <n v="7.6"/>
    <n v="70.400000000000006"/>
    <n v="25"/>
  </r>
  <r>
    <x v="12"/>
    <x v="28"/>
    <s v="LAN"/>
    <s v="CHL"/>
    <x v="4"/>
    <x v="0"/>
    <n v="9.15"/>
    <n v="5.9"/>
    <n v="0.37"/>
    <n v="13.7"/>
    <n v="84.8"/>
    <n v="45"/>
  </r>
  <r>
    <x v="13"/>
    <x v="28"/>
    <s v="LAN"/>
    <s v="CHL"/>
    <x v="4"/>
    <x v="0"/>
    <n v="11.93"/>
    <n v="5.9"/>
    <n v="1.18"/>
    <n v="17.899999999999999"/>
    <n v="82.5"/>
    <n v="59"/>
  </r>
  <r>
    <x v="14"/>
    <x v="28"/>
    <s v="LAN"/>
    <s v="CHL"/>
    <x v="4"/>
    <x v="0"/>
    <n v="12.35"/>
    <n v="5.9"/>
    <n v="0.72"/>
    <n v="18.5"/>
    <n v="79.7"/>
    <n v="61"/>
  </r>
  <r>
    <x v="15"/>
    <x v="28"/>
    <s v="LAN"/>
    <s v="CHL"/>
    <x v="4"/>
    <x v="0"/>
    <n v="13.7"/>
    <n v="5.9"/>
    <n v="1.07"/>
    <n v="20.5"/>
    <n v="82.1"/>
    <n v="68"/>
  </r>
  <r>
    <x v="16"/>
    <x v="28"/>
    <s v="LAN"/>
    <s v="CHL"/>
    <x v="4"/>
    <x v="0"/>
    <n v="13.27"/>
    <n v="5.9"/>
    <n v="0.38"/>
    <n v="19.899999999999999"/>
    <n v="85.2"/>
    <n v="66"/>
  </r>
  <r>
    <x v="0"/>
    <x v="29"/>
    <s v="AZUL"/>
    <s v="BRA"/>
    <x v="4"/>
    <x v="1"/>
    <n v="0.39"/>
    <n v="5.9"/>
    <n v="0.05"/>
    <n v="1.6"/>
    <n v="84.2"/>
    <n v="1"/>
  </r>
  <r>
    <x v="1"/>
    <x v="29"/>
    <s v="AZUL"/>
    <s v="BRA"/>
    <x v="4"/>
    <x v="1"/>
    <n v="0.69"/>
    <n v="5.9"/>
    <n v="0.08"/>
    <n v="2.8"/>
    <n v="87.6"/>
    <n v="3"/>
  </r>
  <r>
    <x v="2"/>
    <x v="29"/>
    <s v="AZUL"/>
    <s v="BRA"/>
    <x v="4"/>
    <x v="1"/>
    <n v="0.99"/>
    <n v="5.9"/>
    <n v="0.16"/>
    <n v="3.9"/>
    <n v="86.4"/>
    <n v="4"/>
  </r>
  <r>
    <x v="3"/>
    <x v="29"/>
    <s v="AZUL"/>
    <s v="BRA"/>
    <x v="4"/>
    <x v="1"/>
    <n v="1.1599999999999999"/>
    <n v="5.9"/>
    <n v="0.13"/>
    <n v="4.5999999999999996"/>
    <n v="88"/>
    <n v="5"/>
  </r>
  <r>
    <x v="4"/>
    <x v="29"/>
    <s v="AZUL"/>
    <s v="BRA"/>
    <x v="4"/>
    <x v="1"/>
    <n v="1.44"/>
    <n v="5.9"/>
    <n v="0.16"/>
    <n v="5.7"/>
    <n v="89.9"/>
    <n v="7"/>
  </r>
  <r>
    <x v="5"/>
    <x v="29"/>
    <s v="AZUL"/>
    <s v="BRA"/>
    <x v="4"/>
    <x v="1"/>
    <n v="1.69"/>
    <n v="5.9"/>
    <n v="0.3"/>
    <n v="6.8"/>
    <n v="87.2"/>
    <n v="8"/>
  </r>
  <r>
    <x v="6"/>
    <x v="29"/>
    <s v="AZUL"/>
    <s v="BRA"/>
    <x v="4"/>
    <x v="1"/>
    <n v="2.11"/>
    <n v="5.9"/>
    <n v="0.27"/>
    <n v="8.4"/>
    <n v="88.9"/>
    <n v="10"/>
  </r>
  <r>
    <x v="7"/>
    <x v="29"/>
    <s v="AZUL"/>
    <s v="BRA"/>
    <x v="4"/>
    <x v="1"/>
    <n v="2.25"/>
    <n v="5.9"/>
    <n v="0.22"/>
    <n v="9"/>
    <n v="87.9"/>
    <n v="11"/>
  </r>
  <r>
    <x v="8"/>
    <x v="29"/>
    <s v="AZUL"/>
    <s v="BRA"/>
    <x v="4"/>
    <x v="1"/>
    <n v="2.68"/>
    <n v="5.9"/>
    <n v="0.32"/>
    <n v="10.7"/>
    <n v="84.4"/>
    <n v="13"/>
  </r>
  <r>
    <x v="9"/>
    <x v="29"/>
    <s v="AZUL"/>
    <s v="BRA"/>
    <x v="4"/>
    <x v="1"/>
    <n v="2.69"/>
    <n v="5.9"/>
    <n v="0.23"/>
    <n v="10.8"/>
    <n v="83.5"/>
    <n v="13"/>
  </r>
  <r>
    <x v="10"/>
    <x v="29"/>
    <s v="AZUL"/>
    <s v="BRA"/>
    <x v="4"/>
    <x v="1"/>
    <n v="1.1000000000000001"/>
    <n v="5.9"/>
    <n v="-0.36"/>
    <n v="4.4000000000000004"/>
    <n v="55"/>
    <n v="5"/>
  </r>
  <r>
    <x v="11"/>
    <x v="29"/>
    <s v="AZUL"/>
    <s v="BRA"/>
    <x v="4"/>
    <x v="1"/>
    <n v="1.5"/>
    <n v="5.9"/>
    <n v="-0.28000000000000003"/>
    <n v="6"/>
    <n v="69.7"/>
    <n v="7"/>
  </r>
  <r>
    <x v="12"/>
    <x v="29"/>
    <s v="AZUL"/>
    <s v="BRA"/>
    <x v="4"/>
    <x v="1"/>
    <n v="3.19"/>
    <n v="5.9"/>
    <n v="-0.05"/>
    <n v="12.8"/>
    <n v="86.2"/>
    <n v="15"/>
  </r>
  <r>
    <x v="13"/>
    <x v="29"/>
    <s v="AZUL"/>
    <s v="BRA"/>
    <x v="4"/>
    <x v="1"/>
    <n v="3.89"/>
    <n v="5.9"/>
    <n v="0.51"/>
    <n v="15.6"/>
    <n v="88.1"/>
    <n v="19"/>
  </r>
  <r>
    <x v="14"/>
    <x v="29"/>
    <s v="AZUL"/>
    <s v="BRA"/>
    <x v="4"/>
    <x v="1"/>
    <n v="4.21"/>
    <n v="5.9"/>
    <n v="0.54"/>
    <n v="16.899999999999999"/>
    <n v="88.6"/>
    <n v="21"/>
  </r>
  <r>
    <x v="15"/>
    <x v="29"/>
    <s v="AZUL"/>
    <s v="BRA"/>
    <x v="4"/>
    <x v="1"/>
    <n v="4.3899999999999997"/>
    <n v="5.9"/>
    <n v="0.62"/>
    <n v="17.600000000000001"/>
    <n v="84.3"/>
    <n v="21"/>
  </r>
  <r>
    <x v="16"/>
    <x v="29"/>
    <s v="AZUL"/>
    <s v="BRA"/>
    <x v="4"/>
    <x v="1"/>
    <n v="4.8499999999999996"/>
    <n v="5.9"/>
    <n v="0.6"/>
    <n v="19.399999999999999"/>
    <n v="85.8"/>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0958EA-3769-4F6A-A038-701D17BF0294}" name="PivotTable24"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C162:AD180" firstHeaderRow="1" firstDataRow="1" firstDataCol="1"/>
  <pivotFields count="16">
    <pivotField dataField="1" showAll="0"/>
    <pivotField numFmtId="14" showAll="0"/>
    <pivotField axis="axisRow" showAll="0">
      <items count="18">
        <item x="0"/>
        <item x="1"/>
        <item x="2"/>
        <item x="3"/>
        <item x="4"/>
        <item x="5"/>
        <item x="6"/>
        <item x="7"/>
        <item x="8"/>
        <item x="9"/>
        <item x="10"/>
        <item x="11"/>
        <item x="12"/>
        <item x="13"/>
        <item x="14"/>
        <item x="15"/>
        <item x="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147B3E-8203-4A32-831E-122D594778A6}" name="PivotTable23"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A11:BB15" firstHeaderRow="1" firstDataRow="1" firstDataCol="1"/>
  <pivotFields count="12">
    <pivotField showAll="0">
      <items count="18">
        <item x="0"/>
        <item x="1"/>
        <item x="2"/>
        <item x="3"/>
        <item x="4"/>
        <item x="5"/>
        <item x="6"/>
        <item x="7"/>
        <item x="8"/>
        <item x="9"/>
        <item x="10"/>
        <item x="11"/>
        <item x="12"/>
        <item x="13"/>
        <item x="14"/>
        <item x="15"/>
        <item x="16"/>
        <item t="default"/>
      </items>
    </pivotField>
    <pivotField dataField="1" showAll="0">
      <items count="31">
        <item x="12"/>
        <item x="14"/>
        <item x="8"/>
        <item x="22"/>
        <item x="4"/>
        <item x="2"/>
        <item x="17"/>
        <item x="29"/>
        <item x="19"/>
        <item x="15"/>
        <item x="13"/>
        <item x="0"/>
        <item x="10"/>
        <item x="23"/>
        <item x="25"/>
        <item x="7"/>
        <item x="21"/>
        <item x="16"/>
        <item x="5"/>
        <item x="20"/>
        <item x="28"/>
        <item x="6"/>
        <item x="24"/>
        <item x="27"/>
        <item x="9"/>
        <item x="26"/>
        <item x="18"/>
        <item x="3"/>
        <item x="11"/>
        <item x="1"/>
        <item t="default"/>
      </items>
    </pivotField>
    <pivotField showAll="0"/>
    <pivotField showAll="0"/>
    <pivotField showAll="0">
      <items count="6">
        <item x="2"/>
        <item x="1"/>
        <item x="4"/>
        <item x="3"/>
        <item x="0"/>
        <item t="default"/>
      </items>
    </pivotField>
    <pivotField axis="axisRow" showAll="0">
      <items count="4">
        <item x="0"/>
        <item x="1"/>
        <item x="2"/>
        <item t="default"/>
      </items>
    </pivotField>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airline_name" fld="1" subtotal="count"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5" format="7">
      <pivotArea type="data" outline="0" fieldPosition="0">
        <references count="2">
          <reference field="4294967294" count="1" selected="0">
            <x v="0"/>
          </reference>
          <reference field="5" count="1" selected="0">
            <x v="1"/>
          </reference>
        </references>
      </pivotArea>
    </chartFormat>
    <chartFormat chart="5"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5E48B8-1FC0-4E1A-B40A-0377EC297D56}" name="PivotTable18"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52:AB70" firstHeaderRow="1" firstDataRow="1" firstDataCol="1"/>
  <pivotFields count="10">
    <pivotField axis="axisRow" showAll="0" sortType="descending">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 dataField="1" showAll="0"/>
    <pivotField showAll="0"/>
    <pivotField showAll="0"/>
    <pivotField showAll="0"/>
    <pivotField showAll="0"/>
  </pivotFields>
  <rowFields count="1">
    <field x="0"/>
  </rowFields>
  <rowItems count="18">
    <i>
      <x v="8"/>
    </i>
    <i>
      <x v="7"/>
    </i>
    <i>
      <x v="15"/>
    </i>
    <i>
      <x v="6"/>
    </i>
    <i>
      <x v="5"/>
    </i>
    <i>
      <x v="4"/>
    </i>
    <i>
      <x v="13"/>
    </i>
    <i>
      <x v="9"/>
    </i>
    <i>
      <x v="3"/>
    </i>
    <i>
      <x v="14"/>
    </i>
    <i>
      <x v="12"/>
    </i>
    <i>
      <x v="2"/>
    </i>
    <i>
      <x v="1"/>
    </i>
    <i>
      <x v="11"/>
    </i>
    <i>
      <x/>
    </i>
    <i>
      <x v="10"/>
    </i>
    <i>
      <x v="16"/>
    </i>
    <i t="grand">
      <x/>
    </i>
  </rowItems>
  <colItems count="1">
    <i/>
  </colItems>
  <dataFields count="1">
    <dataField name="Sum of deliveri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B9BB2D-0A48-4411-A7C9-1BA1CEBDA188}" name="PivotTable17"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L52:AM57" firstHeaderRow="1" firstDataRow="1" firstDataCol="1"/>
  <pivotFields count="10">
    <pivotField showAll="0"/>
    <pivotField axis="axisRow" showAll="0">
      <items count="5">
        <item x="0"/>
        <item x="1"/>
        <item x="2"/>
        <item x="3"/>
        <item t="default"/>
      </items>
    </pivotField>
    <pivotField showAll="0"/>
    <pivotField showAll="0"/>
    <pivotField showAll="0"/>
    <pivotField showAll="0"/>
    <pivotField dataField="1" showAll="0"/>
    <pivotField showAll="0"/>
    <pivotField showAll="0"/>
    <pivotField showAll="0"/>
  </pivotFields>
  <rowFields count="1">
    <field x="1"/>
  </rowFields>
  <rowItems count="5">
    <i>
      <x/>
    </i>
    <i>
      <x v="1"/>
    </i>
    <i>
      <x v="2"/>
    </i>
    <i>
      <x v="3"/>
    </i>
    <i t="grand">
      <x/>
    </i>
  </rowItems>
  <colItems count="1">
    <i/>
  </colItems>
  <dataFields count="1">
    <dataField name="Sum of backlog_end_of_year"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12D3ED-601F-40E4-ABA0-4C0767ED0A0D}" name="PivotTable16"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162:O166" firstHeaderRow="1" firstDataRow="1" firstDataCol="1"/>
  <pivotFields count="16">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15"/>
  </rowFields>
  <rowItems count="4">
    <i>
      <x v="1"/>
    </i>
    <i>
      <x v="2"/>
    </i>
    <i>
      <x/>
    </i>
    <i t="grand">
      <x/>
    </i>
  </rowItems>
  <colItems count="1">
    <i/>
  </colItems>
  <dataFields count="1">
    <dataField name="Count of incident_id"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1"/>
          </reference>
        </references>
      </pivotArea>
    </chartFormat>
    <chartFormat chart="4" format="7">
      <pivotArea type="data" outline="0" fieldPosition="0">
        <references count="2">
          <reference field="4294967294" count="1" selected="0">
            <x v="0"/>
          </reference>
          <reference field="15" count="1" selected="0">
            <x v="2"/>
          </reference>
        </references>
      </pivotArea>
    </chartFormat>
    <chartFormat chart="4" format="8">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21D43A-183E-4A4C-84F4-3D5F1D541F49}" name="PivotTable15"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2:B200" firstHeaderRow="1" firstDataRow="1" firstDataCol="1"/>
  <pivotFields count="16">
    <pivotField showAll="0"/>
    <pivotField numFmtId="14" showAll="0"/>
    <pivotField showAll="0"/>
    <pivotField showAll="0"/>
    <pivotField showAll="0"/>
    <pivotField axis="axisRow" showAll="0" sortType="descending">
      <items count="38">
        <item x="16"/>
        <item x="25"/>
        <item x="26"/>
        <item x="1"/>
        <item x="7"/>
        <item x="29"/>
        <item x="33"/>
        <item x="4"/>
        <item x="31"/>
        <item x="3"/>
        <item x="35"/>
        <item x="23"/>
        <item x="34"/>
        <item x="11"/>
        <item x="36"/>
        <item x="15"/>
        <item x="27"/>
        <item x="10"/>
        <item x="8"/>
        <item x="2"/>
        <item x="22"/>
        <item x="28"/>
        <item x="32"/>
        <item x="14"/>
        <item x="5"/>
        <item x="9"/>
        <item x="19"/>
        <item x="0"/>
        <item x="21"/>
        <item x="13"/>
        <item x="20"/>
        <item x="6"/>
        <item x="18"/>
        <item x="12"/>
        <item x="17"/>
        <item x="24"/>
        <item x="3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s>
  <rowFields count="1">
    <field x="5"/>
  </rowFields>
  <rowItems count="38">
    <i>
      <x v="24"/>
    </i>
    <i>
      <x v="2"/>
    </i>
    <i>
      <x v="25"/>
    </i>
    <i>
      <x v="23"/>
    </i>
    <i>
      <x v="22"/>
    </i>
    <i>
      <x v="3"/>
    </i>
    <i>
      <x v="32"/>
    </i>
    <i>
      <x v="4"/>
    </i>
    <i>
      <x v="15"/>
    </i>
    <i>
      <x v="18"/>
    </i>
    <i>
      <x v="11"/>
    </i>
    <i>
      <x v="9"/>
    </i>
    <i>
      <x v="26"/>
    </i>
    <i>
      <x v="27"/>
    </i>
    <i>
      <x v="19"/>
    </i>
    <i>
      <x v="6"/>
    </i>
    <i>
      <x v="13"/>
    </i>
    <i>
      <x v="36"/>
    </i>
    <i>
      <x v="30"/>
    </i>
    <i>
      <x v="17"/>
    </i>
    <i>
      <x v="31"/>
    </i>
    <i>
      <x/>
    </i>
    <i>
      <x v="8"/>
    </i>
    <i>
      <x v="21"/>
    </i>
    <i>
      <x v="7"/>
    </i>
    <i>
      <x v="20"/>
    </i>
    <i>
      <x v="29"/>
    </i>
    <i>
      <x v="35"/>
    </i>
    <i>
      <x v="1"/>
    </i>
    <i>
      <x v="10"/>
    </i>
    <i>
      <x v="28"/>
    </i>
    <i>
      <x v="33"/>
    </i>
    <i>
      <x v="34"/>
    </i>
    <i>
      <x v="5"/>
    </i>
    <i>
      <x v="12"/>
    </i>
    <i>
      <x v="14"/>
    </i>
    <i>
      <x v="16"/>
    </i>
    <i t="grand">
      <x/>
    </i>
  </rowItems>
  <colItems count="1">
    <i/>
  </colItems>
  <dataFields count="1">
    <dataField name="Sum of fataliti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94BF69-D32E-4B3C-964D-39655F6E888F}" name="PivotTable1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16:O157" firstHeaderRow="1" firstDataRow="1" firstDataCol="1"/>
  <pivotFields count="11">
    <pivotField showAll="0"/>
    <pivotField axis="axisRow" showAll="0">
      <items count="41">
        <item x="32"/>
        <item x="16"/>
        <item x="34"/>
        <item x="4"/>
        <item x="22"/>
        <item x="28"/>
        <item x="18"/>
        <item x="9"/>
        <item x="7"/>
        <item x="8"/>
        <item x="13"/>
        <item x="31"/>
        <item x="25"/>
        <item x="5"/>
        <item x="37"/>
        <item x="10"/>
        <item x="0"/>
        <item x="27"/>
        <item x="29"/>
        <item x="11"/>
        <item x="12"/>
        <item x="24"/>
        <item x="14"/>
        <item x="2"/>
        <item x="20"/>
        <item x="36"/>
        <item x="3"/>
        <item x="30"/>
        <item x="17"/>
        <item x="39"/>
        <item x="15"/>
        <item x="21"/>
        <item x="26"/>
        <item x="33"/>
        <item x="6"/>
        <item x="35"/>
        <item x="23"/>
        <item x="1"/>
        <item x="38"/>
        <item x="19"/>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avg_fare_us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EF1A98-8FB9-4578-A9F6-0DB5CAB31DD4}" name="PivotTable1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6:B127" firstHeaderRow="1" firstDataRow="1" firstDataCol="1"/>
  <pivotFields count="11">
    <pivotField showAll="0"/>
    <pivotField axis="axisRow" showAll="0" measureFilter="1" sortType="descending">
      <items count="41">
        <item x="32"/>
        <item x="16"/>
        <item x="34"/>
        <item x="4"/>
        <item x="22"/>
        <item x="28"/>
        <item x="18"/>
        <item x="9"/>
        <item x="7"/>
        <item x="8"/>
        <item x="13"/>
        <item x="31"/>
        <item x="25"/>
        <item x="5"/>
        <item x="37"/>
        <item x="10"/>
        <item x="0"/>
        <item x="27"/>
        <item x="29"/>
        <item x="11"/>
        <item x="12"/>
        <item x="24"/>
        <item x="14"/>
        <item x="2"/>
        <item x="20"/>
        <item x="36"/>
        <item x="3"/>
        <item x="30"/>
        <item x="17"/>
        <item x="39"/>
        <item x="15"/>
        <item x="21"/>
        <item x="26"/>
        <item x="33"/>
        <item x="6"/>
        <item x="35"/>
        <item x="23"/>
        <item x="1"/>
        <item x="38"/>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s>
  <rowFields count="1">
    <field x="1"/>
  </rowFields>
  <rowItems count="11">
    <i>
      <x v="5"/>
    </i>
    <i>
      <x v="7"/>
    </i>
    <i>
      <x v="8"/>
    </i>
    <i>
      <x v="12"/>
    </i>
    <i>
      <x v="38"/>
    </i>
    <i>
      <x v="2"/>
    </i>
    <i>
      <x/>
    </i>
    <i>
      <x v="17"/>
    </i>
    <i>
      <x v="13"/>
    </i>
    <i>
      <x v="3"/>
    </i>
    <i t="grand">
      <x/>
    </i>
  </rowItems>
  <colItems count="1">
    <i/>
  </colItems>
  <dataFields count="1">
    <dataField name="Sum of annual_revenue_usd_m" fld="10"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BE2C9B-B88F-49AF-8373-C7E22D8529E5}" name="PivotTable12"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A78:AB96" firstHeaderRow="1" firstDataRow="1" firstDataCol="1"/>
  <pivotFields count="10">
    <pivotField axis="axisRow" numFmtId="14"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ascending">
      <items count="20">
        <item sd="0" x="0"/>
        <item sd="0" x="18"/>
        <item sd="0" x="1"/>
        <item sd="0" x="2"/>
        <item sd="0" x="3"/>
        <item sd="0" x="4"/>
        <item sd="0" x="5"/>
        <item sd="0" x="6"/>
        <item sd="0" x="7"/>
        <item sd="0" x="8"/>
        <item sd="0" x="9"/>
        <item sd="0" x="10"/>
        <item sd="0" x="11"/>
        <item sd="0" x="12"/>
        <item sd="0" x="13"/>
        <item sd="0" x="14"/>
        <item sd="0" x="15"/>
        <item sd="0" x="16"/>
        <item sd="0" x="17"/>
        <item t="default"/>
      </items>
    </pivotField>
  </pivotFields>
  <rowFields count="4">
    <field x="9"/>
    <field x="8"/>
    <field x="7"/>
    <field x="0"/>
  </rowFields>
  <rowItems count="18">
    <i>
      <x v="2"/>
    </i>
    <i>
      <x v="3"/>
    </i>
    <i>
      <x v="4"/>
    </i>
    <i>
      <x v="5"/>
    </i>
    <i>
      <x v="6"/>
    </i>
    <i>
      <x v="7"/>
    </i>
    <i>
      <x v="8"/>
    </i>
    <i>
      <x v="9"/>
    </i>
    <i>
      <x v="10"/>
    </i>
    <i>
      <x v="11"/>
    </i>
    <i>
      <x v="12"/>
    </i>
    <i>
      <x v="13"/>
    </i>
    <i>
      <x v="14"/>
    </i>
    <i>
      <x v="15"/>
    </i>
    <i>
      <x v="16"/>
    </i>
    <i>
      <x v="17"/>
    </i>
    <i>
      <x v="18"/>
    </i>
    <i t="grand">
      <x/>
    </i>
  </rowItems>
  <colItems count="1">
    <i/>
  </colItems>
  <dataFields count="1">
    <dataField name="Sum of rpk_billions"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8B6B97-87A5-4DFD-A025-6215339861F1}" name="PivotTable11"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78:O85" firstHeaderRow="1" firstDataRow="1" firstDataCol="1"/>
  <pivotFields count="10">
    <pivotField numFmtId="14"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pivotField showAll="0"/>
    <pivotField axis="axisRow" showAll="0" sortType="descending">
      <items count="7">
        <item x="5"/>
        <item x="2"/>
        <item x="1"/>
        <item x="4"/>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3"/>
  </rowFields>
  <rowItems count="7">
    <i>
      <x/>
    </i>
    <i>
      <x v="1"/>
    </i>
    <i>
      <x v="4"/>
    </i>
    <i>
      <x v="3"/>
    </i>
    <i>
      <x v="2"/>
    </i>
    <i>
      <x v="5"/>
    </i>
    <i t="grand">
      <x/>
    </i>
  </rowItems>
  <colItems count="1">
    <i/>
  </colItems>
  <dataFields count="1">
    <dataField name="Average of load_factor_pct" fld="6" subtotal="average" baseField="3" baseItem="0"/>
  </dataFields>
  <chartFormats count="8">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4"/>
          </reference>
        </references>
      </pivotArea>
    </chartFormat>
    <chartFormat chart="4" format="12">
      <pivotArea type="data" outline="0" fieldPosition="0">
        <references count="2">
          <reference field="4294967294" count="1" selected="0">
            <x v="0"/>
          </reference>
          <reference field="3" count="1" selected="0">
            <x v="3"/>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129E6D-BEEF-4F89-A55D-C15B22711C77}" name="PivotTable10"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B109" firstHeaderRow="1" firstDataRow="1" firstDataCol="1"/>
  <pivotFields count="12">
    <pivotField showAll="0">
      <items count="18">
        <item x="0"/>
        <item x="1"/>
        <item x="2"/>
        <item x="3"/>
        <item x="4"/>
        <item x="5"/>
        <item x="6"/>
        <item x="7"/>
        <item x="8"/>
        <item x="9"/>
        <item x="10"/>
        <item x="11"/>
        <item x="12"/>
        <item x="13"/>
        <item x="14"/>
        <item x="15"/>
        <item x="16"/>
        <item t="default"/>
      </items>
    </pivotField>
    <pivotField axis="axisRow" showAll="0" sortType="descending">
      <items count="31">
        <item x="12"/>
        <item x="14"/>
        <item x="8"/>
        <item x="22"/>
        <item x="4"/>
        <item x="2"/>
        <item x="17"/>
        <item x="29"/>
        <item x="19"/>
        <item x="15"/>
        <item x="13"/>
        <item x="0"/>
        <item x="10"/>
        <item x="23"/>
        <item x="25"/>
        <item x="7"/>
        <item x="21"/>
        <item x="16"/>
        <item x="5"/>
        <item x="20"/>
        <item x="28"/>
        <item x="6"/>
        <item x="24"/>
        <item x="27"/>
        <item x="9"/>
        <item x="26"/>
        <item x="18"/>
        <item x="3"/>
        <item x="11"/>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1"/>
        <item x="4"/>
        <item x="3"/>
        <item x="0"/>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1"/>
  </rowFields>
  <rowItems count="31">
    <i>
      <x v="27"/>
    </i>
    <i>
      <x v="11"/>
    </i>
    <i>
      <x v="5"/>
    </i>
    <i>
      <x v="29"/>
    </i>
    <i>
      <x v="21"/>
    </i>
    <i>
      <x v="2"/>
    </i>
    <i>
      <x v="15"/>
    </i>
    <i>
      <x v="13"/>
    </i>
    <i>
      <x v="24"/>
    </i>
    <i>
      <x v="12"/>
    </i>
    <i>
      <x v="18"/>
    </i>
    <i>
      <x v="10"/>
    </i>
    <i>
      <x v="1"/>
    </i>
    <i>
      <x v="6"/>
    </i>
    <i>
      <x v="9"/>
    </i>
    <i>
      <x v="4"/>
    </i>
    <i>
      <x v="22"/>
    </i>
    <i>
      <x v="28"/>
    </i>
    <i>
      <x v="8"/>
    </i>
    <i>
      <x v="17"/>
    </i>
    <i>
      <x v="26"/>
    </i>
    <i>
      <x v="16"/>
    </i>
    <i>
      <x v="19"/>
    </i>
    <i>
      <x v="20"/>
    </i>
    <i>
      <x v="3"/>
    </i>
    <i>
      <x/>
    </i>
    <i>
      <x v="7"/>
    </i>
    <i>
      <x v="14"/>
    </i>
    <i>
      <x v="25"/>
    </i>
    <i>
      <x v="23"/>
    </i>
    <i t="grand">
      <x/>
    </i>
  </rowItems>
  <colItems count="1">
    <i/>
  </colItems>
  <dataFields count="1">
    <dataField name="Sum of passengers_carried_m"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C3BE9A-4D63-417F-B699-94E6AFF030CD}" name="PivotTable5" cacheId="6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52:S58" firstHeaderRow="1" firstDataRow="2" firstDataCol="1"/>
  <pivotFields count="10">
    <pivotField axis="axisCol" showAll="0">
      <items count="18">
        <item x="0"/>
        <item x="1"/>
        <item x="2"/>
        <item x="3"/>
        <item x="4"/>
        <item x="5"/>
        <item x="6"/>
        <item x="7"/>
        <item x="8"/>
        <item x="9"/>
        <item x="10"/>
        <item x="11"/>
        <item x="12"/>
        <item x="13"/>
        <item x="14"/>
        <item x="15"/>
        <item x="16"/>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items count="7">
        <item x="2"/>
        <item x="3"/>
        <item x="0"/>
        <item x="1"/>
        <item x="4"/>
        <item x="5"/>
        <item t="default"/>
      </items>
    </pivotField>
    <pivotField showAll="0"/>
    <pivotField dataField="1" showAll="0"/>
    <pivotField showAll="0"/>
    <pivotField showAll="0"/>
    <pivotField showAll="0"/>
    <pivotField showAll="0"/>
    <pivotField showAll="0"/>
  </pivotFields>
  <rowFields count="1">
    <field x="1"/>
  </rowFields>
  <rowItems count="5">
    <i>
      <x/>
    </i>
    <i>
      <x v="1"/>
    </i>
    <i>
      <x v="2"/>
    </i>
    <i>
      <x v="3"/>
    </i>
    <i t="grand">
      <x/>
    </i>
  </rowItems>
  <colFields count="1">
    <field x="0"/>
  </colFields>
  <colItems count="18">
    <i>
      <x/>
    </i>
    <i>
      <x v="1"/>
    </i>
    <i>
      <x v="2"/>
    </i>
    <i>
      <x v="3"/>
    </i>
    <i>
      <x v="4"/>
    </i>
    <i>
      <x v="5"/>
    </i>
    <i>
      <x v="6"/>
    </i>
    <i>
      <x v="7"/>
    </i>
    <i>
      <x v="8"/>
    </i>
    <i>
      <x v="9"/>
    </i>
    <i>
      <x v="10"/>
    </i>
    <i>
      <x v="11"/>
    </i>
    <i>
      <x v="12"/>
    </i>
    <i>
      <x v="13"/>
    </i>
    <i>
      <x v="14"/>
    </i>
    <i>
      <x v="15"/>
    </i>
    <i>
      <x v="16"/>
    </i>
    <i t="grand">
      <x/>
    </i>
  </colItems>
  <dataFields count="1">
    <dataField name="Sum of orders_net" fld="4" baseField="0" baseItem="0"/>
  </dataFields>
  <chartFormats count="3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series="1">
      <pivotArea type="data" outline="0" fieldPosition="0">
        <references count="2">
          <reference field="4294967294" count="1" selected="0">
            <x v="0"/>
          </reference>
          <reference field="0" count="1" selected="0">
            <x v="16"/>
          </reference>
        </references>
      </pivotArea>
    </chartFormat>
    <chartFormat chart="3" format="34" series="1">
      <pivotArea type="data" outline="0" fieldPosition="0">
        <references count="2">
          <reference field="4294967294" count="1" selected="0">
            <x v="0"/>
          </reference>
          <reference field="0" count="1" selected="0">
            <x v="0"/>
          </reference>
        </references>
      </pivotArea>
    </chartFormat>
    <chartFormat chart="3" format="35" series="1">
      <pivotArea type="data" outline="0" fieldPosition="0">
        <references count="2">
          <reference field="4294967294" count="1" selected="0">
            <x v="0"/>
          </reference>
          <reference field="0" count="1" selected="0">
            <x v="1"/>
          </reference>
        </references>
      </pivotArea>
    </chartFormat>
    <chartFormat chart="3" format="36" series="1">
      <pivotArea type="data" outline="0" fieldPosition="0">
        <references count="2">
          <reference field="4294967294" count="1" selected="0">
            <x v="0"/>
          </reference>
          <reference field="0" count="1" selected="0">
            <x v="2"/>
          </reference>
        </references>
      </pivotArea>
    </chartFormat>
    <chartFormat chart="3" format="37" series="1">
      <pivotArea type="data" outline="0" fieldPosition="0">
        <references count="2">
          <reference field="4294967294" count="1" selected="0">
            <x v="0"/>
          </reference>
          <reference field="0" count="1" selected="0">
            <x v="3"/>
          </reference>
        </references>
      </pivotArea>
    </chartFormat>
    <chartFormat chart="3" format="38" series="1">
      <pivotArea type="data" outline="0" fieldPosition="0">
        <references count="2">
          <reference field="4294967294" count="1" selected="0">
            <x v="0"/>
          </reference>
          <reference field="0" count="1" selected="0">
            <x v="4"/>
          </reference>
        </references>
      </pivotArea>
    </chartFormat>
    <chartFormat chart="3" format="39" series="1">
      <pivotArea type="data" outline="0" fieldPosition="0">
        <references count="2">
          <reference field="4294967294" count="1" selected="0">
            <x v="0"/>
          </reference>
          <reference field="0" count="1" selected="0">
            <x v="5"/>
          </reference>
        </references>
      </pivotArea>
    </chartFormat>
    <chartFormat chart="3" format="40" series="1">
      <pivotArea type="data" outline="0" fieldPosition="0">
        <references count="2">
          <reference field="4294967294" count="1" selected="0">
            <x v="0"/>
          </reference>
          <reference field="0" count="1" selected="0">
            <x v="6"/>
          </reference>
        </references>
      </pivotArea>
    </chartFormat>
    <chartFormat chart="3" format="41" series="1">
      <pivotArea type="data" outline="0" fieldPosition="0">
        <references count="2">
          <reference field="4294967294" count="1" selected="0">
            <x v="0"/>
          </reference>
          <reference field="0" count="1" selected="0">
            <x v="7"/>
          </reference>
        </references>
      </pivotArea>
    </chartFormat>
    <chartFormat chart="3" format="42" series="1">
      <pivotArea type="data" outline="0" fieldPosition="0">
        <references count="2">
          <reference field="4294967294" count="1" selected="0">
            <x v="0"/>
          </reference>
          <reference field="0" count="1" selected="0">
            <x v="8"/>
          </reference>
        </references>
      </pivotArea>
    </chartFormat>
    <chartFormat chart="3" format="43" series="1">
      <pivotArea type="data" outline="0" fieldPosition="0">
        <references count="2">
          <reference field="4294967294" count="1" selected="0">
            <x v="0"/>
          </reference>
          <reference field="0" count="1" selected="0">
            <x v="9"/>
          </reference>
        </references>
      </pivotArea>
    </chartFormat>
    <chartFormat chart="3" format="44" series="1">
      <pivotArea type="data" outline="0" fieldPosition="0">
        <references count="2">
          <reference field="4294967294" count="1" selected="0">
            <x v="0"/>
          </reference>
          <reference field="0" count="1" selected="0">
            <x v="10"/>
          </reference>
        </references>
      </pivotArea>
    </chartFormat>
    <chartFormat chart="3" format="45" series="1">
      <pivotArea type="data" outline="0" fieldPosition="0">
        <references count="2">
          <reference field="4294967294" count="1" selected="0">
            <x v="0"/>
          </reference>
          <reference field="0" count="1" selected="0">
            <x v="11"/>
          </reference>
        </references>
      </pivotArea>
    </chartFormat>
    <chartFormat chart="3" format="46" series="1">
      <pivotArea type="data" outline="0" fieldPosition="0">
        <references count="2">
          <reference field="4294967294" count="1" selected="0">
            <x v="0"/>
          </reference>
          <reference field="0" count="1" selected="0">
            <x v="12"/>
          </reference>
        </references>
      </pivotArea>
    </chartFormat>
    <chartFormat chart="3" format="47" series="1">
      <pivotArea type="data" outline="0" fieldPosition="0">
        <references count="2">
          <reference field="4294967294" count="1" selected="0">
            <x v="0"/>
          </reference>
          <reference field="0" count="1" selected="0">
            <x v="13"/>
          </reference>
        </references>
      </pivotArea>
    </chartFormat>
    <chartFormat chart="3" format="48" series="1">
      <pivotArea type="data" outline="0" fieldPosition="0">
        <references count="2">
          <reference field="4294967294" count="1" selected="0">
            <x v="0"/>
          </reference>
          <reference field="0" count="1" selected="0">
            <x v="14"/>
          </reference>
        </references>
      </pivotArea>
    </chartFormat>
    <chartFormat chart="3" format="49" series="1">
      <pivotArea type="data" outline="0" fieldPosition="0">
        <references count="2">
          <reference field="4294967294" count="1" selected="0">
            <x v="0"/>
          </reference>
          <reference field="0" count="1" selected="0">
            <x v="15"/>
          </reference>
        </references>
      </pivotArea>
    </chartFormat>
    <chartFormat chart="3" format="50" series="1">
      <pivotArea type="data" outline="0" fieldPosition="0">
        <references count="2">
          <reference field="4294967294" count="1" selected="0">
            <x v="0"/>
          </reference>
          <reference field="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9B8E17-5AAD-426A-A4A6-F69C75C02E67}" name="PivotTable4"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L11:AM42" firstHeaderRow="1" firstDataRow="1" firstDataCol="1"/>
  <pivotFields count="12">
    <pivotField showAll="0">
      <items count="18">
        <item x="0"/>
        <item x="1"/>
        <item x="2"/>
        <item x="3"/>
        <item x="4"/>
        <item x="5"/>
        <item x="6"/>
        <item x="7"/>
        <item x="8"/>
        <item x="9"/>
        <item x="10"/>
        <item x="11"/>
        <item x="12"/>
        <item x="13"/>
        <item x="14"/>
        <item x="15"/>
        <item x="16"/>
        <item t="default"/>
      </items>
    </pivotField>
    <pivotField axis="axisRow" showAll="0" sortType="descending">
      <items count="31">
        <item x="12"/>
        <item x="14"/>
        <item x="8"/>
        <item x="22"/>
        <item x="4"/>
        <item x="2"/>
        <item x="17"/>
        <item x="29"/>
        <item x="19"/>
        <item x="15"/>
        <item x="13"/>
        <item x="0"/>
        <item x="10"/>
        <item x="23"/>
        <item x="25"/>
        <item x="7"/>
        <item x="21"/>
        <item x="16"/>
        <item x="5"/>
        <item x="20"/>
        <item x="28"/>
        <item x="6"/>
        <item x="24"/>
        <item x="27"/>
        <item x="9"/>
        <item x="26"/>
        <item x="18"/>
        <item x="3"/>
        <item x="11"/>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1"/>
        <item x="4"/>
        <item x="3"/>
        <item x="0"/>
        <item t="default"/>
      </items>
    </pivotField>
    <pivotField showAll="0">
      <items count="4">
        <item x="0"/>
        <item x="1"/>
        <item x="2"/>
        <item t="default"/>
      </items>
    </pivotField>
    <pivotField showAll="0"/>
    <pivotField dataField="1" showAll="0"/>
    <pivotField showAll="0"/>
    <pivotField showAll="0"/>
    <pivotField showAll="0"/>
    <pivotField showAll="0"/>
  </pivotFields>
  <rowFields count="1">
    <field x="1"/>
  </rowFields>
  <rowItems count="31">
    <i>
      <x v="16"/>
    </i>
    <i>
      <x v="25"/>
    </i>
    <i>
      <x v="20"/>
    </i>
    <i>
      <x v="1"/>
    </i>
    <i>
      <x v="29"/>
    </i>
    <i>
      <x v="2"/>
    </i>
    <i>
      <x v="18"/>
    </i>
    <i>
      <x v="3"/>
    </i>
    <i>
      <x v="22"/>
    </i>
    <i>
      <x v="4"/>
    </i>
    <i>
      <x v="27"/>
    </i>
    <i>
      <x v="5"/>
    </i>
    <i>
      <x v="15"/>
    </i>
    <i>
      <x v="6"/>
    </i>
    <i>
      <x v="17"/>
    </i>
    <i>
      <x v="7"/>
    </i>
    <i>
      <x v="19"/>
    </i>
    <i>
      <x v="8"/>
    </i>
    <i>
      <x v="21"/>
    </i>
    <i>
      <x v="9"/>
    </i>
    <i>
      <x v="24"/>
    </i>
    <i>
      <x v="10"/>
    </i>
    <i>
      <x v="26"/>
    </i>
    <i>
      <x v="12"/>
    </i>
    <i>
      <x v="28"/>
    </i>
    <i>
      <x v="13"/>
    </i>
    <i>
      <x/>
    </i>
    <i>
      <x v="14"/>
    </i>
    <i>
      <x v="23"/>
    </i>
    <i>
      <x v="11"/>
    </i>
    <i t="grand">
      <x/>
    </i>
  </rowItems>
  <colItems count="1">
    <i/>
  </colItems>
  <dataFields count="1">
    <dataField name="Average of operating_margin_pct" fld="7" subtotal="average" baseField="1" baseItem="0"/>
  </dataFields>
  <formats count="2">
    <format dxfId="58">
      <pivotArea collapsedLevelsAreSubtotals="1" fieldPosition="0">
        <references count="1">
          <reference field="1" count="0"/>
        </references>
      </pivotArea>
    </format>
    <format dxfId="34">
      <pivotArea collapsedLevelsAreSubtotals="1" fieldPosition="0">
        <references count="1">
          <reference field="1" count="1">
            <x v="16"/>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D97F3D-C1FC-41C3-AA84-E06C7565A0EB}" name="PivotTable3"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11:AB17" firstHeaderRow="1" firstDataRow="1" firstDataCol="1"/>
  <pivotFields count="12">
    <pivotField showAll="0">
      <items count="18">
        <item x="0"/>
        <item x="1"/>
        <item x="2"/>
        <item x="3"/>
        <item x="4"/>
        <item x="5"/>
        <item x="6"/>
        <item x="7"/>
        <item x="8"/>
        <item x="9"/>
        <item x="10"/>
        <item x="11"/>
        <item x="12"/>
        <item x="13"/>
        <item x="14"/>
        <item x="15"/>
        <item x="16"/>
        <item t="default"/>
      </items>
    </pivotField>
    <pivotField showAll="0">
      <items count="31">
        <item x="12"/>
        <item x="14"/>
        <item x="8"/>
        <item x="22"/>
        <item x="4"/>
        <item x="2"/>
        <item x="17"/>
        <item x="29"/>
        <item x="19"/>
        <item x="15"/>
        <item x="13"/>
        <item x="0"/>
        <item x="10"/>
        <item x="23"/>
        <item x="25"/>
        <item x="7"/>
        <item x="21"/>
        <item x="16"/>
        <item x="5"/>
        <item x="20"/>
        <item x="28"/>
        <item x="6"/>
        <item x="24"/>
        <item x="27"/>
        <item x="9"/>
        <item x="26"/>
        <item x="18"/>
        <item x="3"/>
        <item x="11"/>
        <item x="1"/>
        <item t="default"/>
      </items>
    </pivotField>
    <pivotField showAll="0"/>
    <pivotField showAll="0"/>
    <pivotField axis="axisRow"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dataField="1" showAll="0"/>
    <pivotField showAll="0"/>
    <pivotField showAll="0"/>
    <pivotField showAll="0"/>
    <pivotField showAll="0"/>
    <pivotField showAll="0"/>
  </pivotFields>
  <rowFields count="1">
    <field x="4"/>
  </rowFields>
  <rowItems count="6">
    <i>
      <x v="4"/>
    </i>
    <i>
      <x v="1"/>
    </i>
    <i>
      <x/>
    </i>
    <i>
      <x v="3"/>
    </i>
    <i>
      <x v="2"/>
    </i>
    <i t="grand">
      <x/>
    </i>
  </rowItems>
  <colItems count="1">
    <i/>
  </colItems>
  <dataFields count="1">
    <dataField name="Sum of revenue_usd_bn" fld="6"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4"/>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8CD440-C1F9-4FF3-9811-496FF377CD33}" name="PivotTable2"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11:O29" firstHeaderRow="1" firstDataRow="1" firstDataCol="1"/>
  <pivotFields count="12">
    <pivotField axis="axisRow" showAll="0">
      <items count="18">
        <item x="0"/>
        <item x="1"/>
        <item x="2"/>
        <item x="3"/>
        <item x="4"/>
        <item x="5"/>
        <item x="6"/>
        <item x="7"/>
        <item x="8"/>
        <item x="9"/>
        <item x="10"/>
        <item x="11"/>
        <item x="12"/>
        <item x="13"/>
        <item x="14"/>
        <item x="15"/>
        <item x="16"/>
        <item t="default"/>
      </items>
    </pivotField>
    <pivotField showAll="0">
      <items count="31">
        <item x="12"/>
        <item x="14"/>
        <item x="8"/>
        <item x="22"/>
        <item x="4"/>
        <item x="2"/>
        <item x="17"/>
        <item x="29"/>
        <item x="19"/>
        <item x="15"/>
        <item x="13"/>
        <item x="0"/>
        <item x="10"/>
        <item x="23"/>
        <item x="25"/>
        <item x="7"/>
        <item x="21"/>
        <item x="16"/>
        <item x="5"/>
        <item x="20"/>
        <item x="28"/>
        <item x="6"/>
        <item x="24"/>
        <item x="27"/>
        <item x="9"/>
        <item x="26"/>
        <item x="18"/>
        <item x="3"/>
        <item x="11"/>
        <item x="1"/>
        <item t="default"/>
      </items>
    </pivotField>
    <pivotField showAll="0"/>
    <pivotField showAll="0"/>
    <pivotField showAll="0">
      <items count="6">
        <item x="2"/>
        <item x="1"/>
        <item x="4"/>
        <item x="3"/>
        <item x="0"/>
        <item t="default"/>
      </items>
    </pivotField>
    <pivotField showAll="0">
      <items count="4">
        <item x="0"/>
        <item x="1"/>
        <item x="2"/>
        <item t="default"/>
      </items>
    </pivotField>
    <pivotField dataField="1" showAll="0"/>
    <pivotField showAll="0"/>
    <pivotField showAll="0"/>
    <pivotField showAll="0"/>
    <pivotField showAll="0"/>
    <pivotField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_usd_bn"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5E390C7-982F-4E7A-8645-85ED0BB1F240}" name="PivotTable1"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42" firstHeaderRow="1" firstDataRow="1" firstDataCol="1"/>
  <pivotFields count="12">
    <pivotField showAll="0">
      <items count="18">
        <item x="0"/>
        <item x="1"/>
        <item x="2"/>
        <item x="3"/>
        <item x="4"/>
        <item x="5"/>
        <item x="6"/>
        <item x="7"/>
        <item x="8"/>
        <item x="9"/>
        <item x="10"/>
        <item x="11"/>
        <item x="12"/>
        <item x="13"/>
        <item x="14"/>
        <item x="15"/>
        <item x="16"/>
        <item t="default"/>
      </items>
    </pivotField>
    <pivotField axis="axisRow" showAll="0" sortType="descending">
      <items count="31">
        <item x="12"/>
        <item x="14"/>
        <item x="8"/>
        <item x="22"/>
        <item x="4"/>
        <item x="2"/>
        <item x="17"/>
        <item x="29"/>
        <item x="19"/>
        <item x="15"/>
        <item x="13"/>
        <item x="0"/>
        <item x="10"/>
        <item x="23"/>
        <item x="25"/>
        <item x="7"/>
        <item x="21"/>
        <item x="16"/>
        <item x="5"/>
        <item x="20"/>
        <item x="28"/>
        <item x="6"/>
        <item x="24"/>
        <item x="27"/>
        <item x="9"/>
        <item x="26"/>
        <item x="18"/>
        <item x="3"/>
        <item x="11"/>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1"/>
        <item x="4"/>
        <item x="3"/>
        <item x="0"/>
        <item t="default"/>
      </items>
    </pivotField>
    <pivotField showAll="0">
      <items count="4">
        <item x="0"/>
        <item x="1"/>
        <item x="2"/>
        <item t="default"/>
      </items>
    </pivotField>
    <pivotField dataField="1" showAll="0"/>
    <pivotField showAll="0"/>
    <pivotField showAll="0"/>
    <pivotField showAll="0"/>
    <pivotField showAll="0"/>
    <pivotField showAll="0"/>
  </pivotFields>
  <rowFields count="1">
    <field x="1"/>
  </rowFields>
  <rowItems count="31">
    <i>
      <x v="11"/>
    </i>
    <i>
      <x v="5"/>
    </i>
    <i>
      <x v="29"/>
    </i>
    <i>
      <x v="21"/>
    </i>
    <i>
      <x v="2"/>
    </i>
    <i>
      <x v="15"/>
    </i>
    <i>
      <x v="13"/>
    </i>
    <i>
      <x v="27"/>
    </i>
    <i>
      <x v="10"/>
    </i>
    <i>
      <x v="1"/>
    </i>
    <i>
      <x v="6"/>
    </i>
    <i>
      <x v="9"/>
    </i>
    <i>
      <x v="22"/>
    </i>
    <i>
      <x v="28"/>
    </i>
    <i>
      <x v="8"/>
    </i>
    <i>
      <x v="17"/>
    </i>
    <i>
      <x v="26"/>
    </i>
    <i>
      <x v="19"/>
    </i>
    <i>
      <x v="20"/>
    </i>
    <i>
      <x v="24"/>
    </i>
    <i>
      <x v="12"/>
    </i>
    <i>
      <x v="4"/>
    </i>
    <i>
      <x v="18"/>
    </i>
    <i>
      <x/>
    </i>
    <i>
      <x v="14"/>
    </i>
    <i>
      <x v="25"/>
    </i>
    <i>
      <x v="16"/>
    </i>
    <i>
      <x v="3"/>
    </i>
    <i>
      <x v="7"/>
    </i>
    <i>
      <x v="23"/>
    </i>
    <i t="grand">
      <x/>
    </i>
  </rowItems>
  <colItems count="1">
    <i/>
  </colItems>
  <dataFields count="1">
    <dataField name="Sum of revenue_usd_bn"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3F5A6A9-843E-4E9A-A5F3-1F464A686597}" autoFormatId="16" applyNumberFormats="0" applyBorderFormats="0" applyFontFormats="0" applyPatternFormats="0" applyAlignmentFormats="0" applyWidthHeightFormats="0">
  <queryTableRefresh nextId="13">
    <queryTableFields count="12">
      <queryTableField id="1" name="year" tableColumnId="1"/>
      <queryTableField id="2" name="airline_name" tableColumnId="2"/>
      <queryTableField id="3" name="iata_code" tableColumnId="3"/>
      <queryTableField id="4" name="country_iso3" tableColumnId="4"/>
      <queryTableField id="5" name="region" tableColumnId="5"/>
      <queryTableField id="6" name="business_model" tableColumnId="6"/>
      <queryTableField id="7" name="revenue_usd_bn" tableColumnId="7"/>
      <queryTableField id="8" name="operating_margin_pct" tableColumnId="8"/>
      <queryTableField id="9" name="operating_income_usd_bn" tableColumnId="9"/>
      <queryTableField id="10" name="passengers_carried_m" tableColumnId="10"/>
      <queryTableField id="11" name="load_factor_pct" tableColumnId="11"/>
      <queryTableField id="12" name="fleet_size_est"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B874B40F-6E16-4A1E-AED9-239FA4F8F8E5}" autoFormatId="16" applyNumberFormats="0" applyBorderFormats="0" applyFontFormats="0" applyPatternFormats="0" applyAlignmentFormats="0" applyWidthHeightFormats="0">
  <queryTableRefresh nextId="11">
    <queryTableFields count="10">
      <queryTableField id="1" name="year" tableColumnId="1"/>
      <queryTableField id="2" name="manufacturer" tableColumnId="2"/>
      <queryTableField id="3" name="aircraft_family" tableColumnId="3"/>
      <queryTableField id="4" name="orders_gross" tableColumnId="4"/>
      <queryTableField id="5" name="orders_net" tableColumnId="5"/>
      <queryTableField id="6" name="deliveries" tableColumnId="6"/>
      <queryTableField id="7" name="backlog_end_of_year" tableColumnId="7"/>
      <queryTableField id="8" name="is_widebody" tableColumnId="8"/>
      <queryTableField id="9" name="is_narrowbody" tableColumnId="9"/>
      <queryTableField id="10" name="is_regional"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2AADAAF7-3162-481F-BD1F-B5405E3315F2}" autoFormatId="16" applyNumberFormats="0" applyBorderFormats="0" applyFontFormats="0" applyPatternFormats="0" applyAlignmentFormats="0" applyWidthHeightFormats="0">
  <queryTableRefresh nextId="8">
    <queryTableFields count="7">
      <queryTableField id="1" name="year_month" tableColumnId="1"/>
      <queryTableField id="2" name="year" tableColumnId="2"/>
      <queryTableField id="3" name="month" tableColumnId="3"/>
      <queryTableField id="4" name="region" tableColumnId="4"/>
      <queryTableField id="5" name="rpk_billions" tableColumnId="5"/>
      <queryTableField id="6" name="ask_billions" tableColumnId="6"/>
      <queryTableField id="7" name="load_factor_pc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5362D5FC-C7AB-4AFC-AD52-B45B8367A593}" autoFormatId="16" applyNumberFormats="0" applyBorderFormats="0" applyFontFormats="0" applyPatternFormats="0" applyAlignmentFormats="0" applyWidthHeightFormats="0">
  <queryTableRefresh nextId="12">
    <queryTableFields count="11">
      <queryTableField id="1" name="year" tableColumnId="1"/>
      <queryTableField id="2" name="route" tableColumnId="2"/>
      <queryTableField id="3" name="origin_iata" tableColumnId="3"/>
      <queryTableField id="4" name="destination_iata" tableColumnId="4"/>
      <queryTableField id="5" name="distance_km" tableColumnId="5"/>
      <queryTableField id="6" name="region" tableColumnId="6"/>
      <queryTableField id="7" name="main_airlines" tableColumnId="7"/>
      <queryTableField id="8" name="annual_passengers_m" tableColumnId="8"/>
      <queryTableField id="9" name="avg_fare_usd" tableColumnId="9"/>
      <queryTableField id="10" name="weekly_frequency_est" tableColumnId="10"/>
      <queryTableField id="11" name="annual_revenue_usd_m"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93A765A8-FA95-4CCD-A996-E58B0764A2A9}" autoFormatId="16" applyNumberFormats="0" applyBorderFormats="0" applyFontFormats="0" applyPatternFormats="0" applyAlignmentFormats="0" applyWidthHeightFormats="0">
  <queryTableRefresh nextId="17" unboundColumnsRight="1">
    <queryTableFields count="16">
      <queryTableField id="1" name="incident_id" tableColumnId="1"/>
      <queryTableField id="2" name="date" tableColumnId="2"/>
      <queryTableField id="3" name="year" tableColumnId="3"/>
      <queryTableField id="4" name="month" tableColumnId="4"/>
      <queryTableField id="5" name="flight_number" tableColumnId="5"/>
      <queryTableField id="6" name="airline" tableColumnId="6"/>
      <queryTableField id="7" name="aircraft_type" tableColumnId="7"/>
      <queryTableField id="8" name="severity" tableColumnId="8"/>
      <queryTableField id="9" name="fatalities" tableColumnId="9"/>
      <queryTableField id="10" name="location" tableColumnId="10"/>
      <queryTableField id="11" name="description" tableColumnId="11"/>
      <queryTableField id="12" name="is_fatal" tableColumnId="12"/>
      <queryTableField id="13" name="is_geopolitical" tableColumnId="13"/>
      <queryTableField id="14" name="is_boeing" tableColumnId="14"/>
      <queryTableField id="15" name="is_airbus"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4F6DD5D-412D-4B27-8FF2-CE2170FB3C91}" sourceName="year">
  <pivotTables>
    <pivotTable tabId="5" name="PivotTable1"/>
    <pivotTable tabId="5" name="PivotTable10"/>
    <pivotTable tabId="5" name="PivotTable2"/>
    <pivotTable tabId="5" name="PivotTable23"/>
    <pivotTable tabId="5" name="PivotTable3"/>
    <pivotTable tabId="5" name="PivotTable4"/>
  </pivotTables>
  <data>
    <tabular pivotCacheId="1927095829">
      <items count="17">
        <i x="0" s="1"/>
        <i x="1" s="1"/>
        <i x="2" s="1"/>
        <i x="3" s="1"/>
        <i x="4" s="1"/>
        <i x="5" s="1"/>
        <i x="6" s="1"/>
        <i x="7" s="1"/>
        <i x="8" s="1"/>
        <i x="9" s="1"/>
        <i x="10" s="1"/>
        <i x="11" s="1"/>
        <i x="12" s="1"/>
        <i x="13" s="1"/>
        <i x="14" s="1"/>
        <i x="15"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_name" xr10:uid="{FCF31914-406E-4664-9BFB-DCD488312E6B}" sourceName="airline_name">
  <pivotTables>
    <pivotTable tabId="5" name="PivotTable1"/>
    <pivotTable tabId="5" name="PivotTable10"/>
    <pivotTable tabId="5" name="PivotTable2"/>
    <pivotTable tabId="5" name="PivotTable23"/>
    <pivotTable tabId="5" name="PivotTable3"/>
    <pivotTable tabId="5" name="PivotTable4"/>
  </pivotTables>
  <data>
    <tabular pivotCacheId="1927095829">
      <items count="30">
        <i x="12" s="1"/>
        <i x="14" s="1"/>
        <i x="8" s="1"/>
        <i x="22" s="1"/>
        <i x="4" s="1"/>
        <i x="2" s="1"/>
        <i x="17" s="1"/>
        <i x="29" s="1"/>
        <i x="19" s="1"/>
        <i x="15" s="1"/>
        <i x="13" s="1"/>
        <i x="0" s="1"/>
        <i x="10" s="1"/>
        <i x="23" s="1"/>
        <i x="25" s="1"/>
        <i x="7" s="1"/>
        <i x="21" s="1"/>
        <i x="16" s="1"/>
        <i x="5" s="1"/>
        <i x="20" s="1"/>
        <i x="28" s="1"/>
        <i x="6" s="1"/>
        <i x="24" s="1"/>
        <i x="27" s="1"/>
        <i x="9" s="1"/>
        <i x="26" s="1"/>
        <i x="18" s="1"/>
        <i x="3" s="1"/>
        <i x="11"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E2E827-AFB9-4713-8F06-4F14B78AA177}" sourceName="region">
  <pivotTables>
    <pivotTable tabId="5" name="PivotTable1"/>
    <pivotTable tabId="5" name="PivotTable10"/>
    <pivotTable tabId="5" name="PivotTable2"/>
    <pivotTable tabId="5" name="PivotTable23"/>
    <pivotTable tabId="5" name="PivotTable3"/>
    <pivotTable tabId="5" name="PivotTable4"/>
  </pivotTables>
  <data>
    <tabular pivotCacheId="1927095829">
      <items count="5">
        <i x="2" s="1"/>
        <i x="1"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model" xr10:uid="{675DD354-A596-4D24-A66B-3EF85D9B4F73}" sourceName="business_model">
  <pivotTables>
    <pivotTable tabId="5" name="PivotTable1"/>
    <pivotTable tabId="5" name="PivotTable10"/>
    <pivotTable tabId="5" name="PivotTable2"/>
    <pivotTable tabId="5" name="PivotTable23"/>
    <pivotTable tabId="5" name="PivotTable3"/>
    <pivotTable tabId="5" name="PivotTable4"/>
  </pivotTables>
  <data>
    <tabular pivotCacheId="1927095829">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E5DDC329-E8B6-40F6-A542-BA41C24FBA20}" sourceName="manufacturer">
  <pivotTables>
    <pivotTable tabId="5" name="PivotTable5"/>
    <pivotTable tabId="5" name="PivotTable17"/>
    <pivotTable tabId="5" name="PivotTable18"/>
  </pivotTables>
  <data>
    <tabular pivotCacheId="24871563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871EDE8-567F-4CEE-9B23-A80394A947B0}" cache="Slicer_year" caption="year" rowHeight="257175"/>
  <slicer name="airline_name" xr10:uid="{8F11223F-0B38-410A-9714-7A6D6F6F775F}" cache="Slicer_airline_name" caption="airline_name" rowHeight="257175"/>
  <slicer name="region" xr10:uid="{2DCEF2FA-46E6-4E62-A5E2-CEB973CB946D}" cache="Slicer_region" caption="region" rowHeight="257175"/>
  <slicer name="business_model" xr10:uid="{DDFBAB30-6819-4870-9920-E1384DEDD6C7}" cache="Slicer_business_model" caption="business_model" rowHeight="257175"/>
  <slicer name="manufacturer" xr10:uid="{A948932D-CE13-4523-98DD-A07F2A4C1CDD}" cache="Slicer_manufacturer" caption="manufactur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521D177-4B8F-4C23-85AE-B564FCA2A1CC}" cache="Slicer_year" caption="year" startItem="4" style="SlicerStyleDark1" rowHeight="257175"/>
  <slicer name="airline_name 1" xr10:uid="{446C2D18-5509-4B88-9D3D-65E478A5F518}" cache="Slicer_airline_name" caption="airline_name" style="SlicerStyleDark1" rowHeight="257175"/>
  <slicer name="region 1" xr10:uid="{BF380E45-4871-48C5-A62E-C1356DA7FF65}" cache="Slicer_region" caption="region" style="SlicerStyleDark1" rowHeight="257175"/>
  <slicer name="business_model 1" xr10:uid="{F175E4DA-419F-454B-9DCA-B32E165C7D5F}" cache="Slicer_business_model" caption="business_model" style="SlicerStyleDark1" rowHeight="257175"/>
  <slicer name="manufacturer 1" xr10:uid="{60BFF5A5-9872-4ABB-9B67-9B86E1FE6333}" cache="Slicer_manufacturer" caption="manufacturer" style="SlicerStyleDark1" rowHeight="257175"/>
  <slicer name="manufacturer 2" xr10:uid="{8E770983-65F2-47EB-A11E-8E81DD7518EE}" cache="Slicer_manufacturer" caption="manufacturer"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B2253C-D1A6-4C90-A274-F956630D223A}" name="tbl_airline_financials" displayName="tbl_airline_financials" ref="A1:L498" tableType="queryTable" totalsRowShown="0">
  <autoFilter ref="A1:L498" xr:uid="{CEB2253C-D1A6-4C90-A274-F956630D223A}"/>
  <tableColumns count="12">
    <tableColumn id="1" xr3:uid="{EF34C87B-5B83-4588-8CDA-C01410912F0A}" uniqueName="1" name="year" queryTableFieldId="1"/>
    <tableColumn id="2" xr3:uid="{CC74725D-EE0F-4758-A41D-690F62FD117C}" uniqueName="2" name="airline_name" queryTableFieldId="2" dataDxfId="56"/>
    <tableColumn id="3" xr3:uid="{E0A87736-CF9B-48DD-AD5F-2F5DE723B8FC}" uniqueName="3" name="iata_code" queryTableFieldId="3" dataDxfId="55"/>
    <tableColumn id="4" xr3:uid="{B8F02AC3-0477-41C3-8FE2-E17263A94034}" uniqueName="4" name="country_iso3" queryTableFieldId="4" dataDxfId="54"/>
    <tableColumn id="5" xr3:uid="{6C5B39FF-1727-41AD-9335-ED6CCF8F5BCB}" uniqueName="5" name="region" queryTableFieldId="5" dataDxfId="53"/>
    <tableColumn id="6" xr3:uid="{B2A6AE67-359C-4FB5-96DF-24D18684C30A}" uniqueName="6" name="business_model" queryTableFieldId="6" dataDxfId="52"/>
    <tableColumn id="7" xr3:uid="{D7E251F5-27D2-4619-8B8A-72F283E1D433}" uniqueName="7" name="revenue_usd_bn" queryTableFieldId="7"/>
    <tableColumn id="8" xr3:uid="{D3713D47-54F7-4559-B778-2DA39DD585F4}" uniqueName="8" name="operating_margin_pct" queryTableFieldId="8"/>
    <tableColumn id="9" xr3:uid="{D8034145-184E-481A-ABC7-FE88FD9B3C25}" uniqueName="9" name="operating_income_usd_bn" queryTableFieldId="9"/>
    <tableColumn id="10" xr3:uid="{D07AB916-5E53-4100-9F99-E91EB92A22DD}" uniqueName="10" name="passengers_carried_m" queryTableFieldId="10"/>
    <tableColumn id="11" xr3:uid="{D1E693C5-9770-46E7-928E-E0DB966F99A4}" uniqueName="11" name="load_factor_pct" queryTableFieldId="11"/>
    <tableColumn id="12" xr3:uid="{5EA5237C-8D90-4992-881B-5EE09F597AAE}" uniqueName="12" name="fleet_size_est"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318BCA-CB64-4EF1-9C11-DC357BC1D325}" name="tbl_fleet_orders" displayName="tbl_fleet_orders" ref="A1:J87" tableType="queryTable" totalsRowShown="0">
  <autoFilter ref="A1:J87" xr:uid="{7D318BCA-CB64-4EF1-9C11-DC357BC1D325}"/>
  <tableColumns count="10">
    <tableColumn id="1" xr3:uid="{DC1A46BA-D20D-4DB9-983A-C0085C490842}" uniqueName="1" name="year" queryTableFieldId="1"/>
    <tableColumn id="2" xr3:uid="{A5DF5249-3E36-4919-8524-ADD26694BDB8}" uniqueName="2" name="manufacturer" queryTableFieldId="2" dataDxfId="51"/>
    <tableColumn id="3" xr3:uid="{048555D5-F85E-4CAB-8D5A-2D9E0F3A3734}" uniqueName="3" name="aircraft_family" queryTableFieldId="3" dataDxfId="50"/>
    <tableColumn id="4" xr3:uid="{47F2A00E-3533-433E-B1ED-67E8C6FFEB98}" uniqueName="4" name="orders_gross" queryTableFieldId="4"/>
    <tableColumn id="5" xr3:uid="{C10DF400-F185-4B7E-BF4C-074E8019CACE}" uniqueName="5" name="orders_net" queryTableFieldId="5"/>
    <tableColumn id="6" xr3:uid="{B06BD815-38FA-4063-AB8E-2CCF3506676A}" uniqueName="6" name="deliveries" queryTableFieldId="6"/>
    <tableColumn id="7" xr3:uid="{14B26935-2D99-4674-B1EC-DFF417C80CBE}" uniqueName="7" name="backlog_end_of_year" queryTableFieldId="7"/>
    <tableColumn id="8" xr3:uid="{6DDA407C-D477-478F-BB09-23BDFDD1FB3C}" uniqueName="8" name="is_widebody" queryTableFieldId="8"/>
    <tableColumn id="9" xr3:uid="{65B76F35-AE46-4195-B392-EA2C752FF652}" uniqueName="9" name="is_narrowbody" queryTableFieldId="9"/>
    <tableColumn id="10" xr3:uid="{F81D105C-14E3-4B58-BC57-3D6AC1BF1432}" uniqueName="10" name="is_regional"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76F923-783A-4F8B-BA13-97DF134E10E1}" name="tbl_passenger_traffic" displayName="tbl_passenger_traffic" ref="A1:G1177" tableType="queryTable" totalsRowShown="0">
  <autoFilter ref="A1:G1177" xr:uid="{5E76F923-783A-4F8B-BA13-97DF134E10E1}"/>
  <tableColumns count="7">
    <tableColumn id="1" xr3:uid="{31215986-43CF-4D46-BAA7-BB30EC24487B}" uniqueName="1" name="year_month" queryTableFieldId="1" dataDxfId="49"/>
    <tableColumn id="2" xr3:uid="{C1B0DA65-5107-4FEE-9127-8C57BA59E968}" uniqueName="2" name="year" queryTableFieldId="2"/>
    <tableColumn id="3" xr3:uid="{0AE6DF99-D143-4288-B673-A65A9CABE4F7}" uniqueName="3" name="month" queryTableFieldId="3"/>
    <tableColumn id="4" xr3:uid="{82807AA0-D243-486E-8FAD-880F47E6451A}" uniqueName="4" name="region" queryTableFieldId="4" dataDxfId="48"/>
    <tableColumn id="5" xr3:uid="{4110699D-7918-43DD-9058-5B61059130E0}" uniqueName="5" name="rpk_billions" queryTableFieldId="5"/>
    <tableColumn id="6" xr3:uid="{52AA6C24-BB86-4307-95C7-154F67574C3E}" uniqueName="6" name="ask_billions" queryTableFieldId="6"/>
    <tableColumn id="7" xr3:uid="{8AE3921E-3F34-446E-9575-7146963D38C4}" uniqueName="7" name="load_factor_pct"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E86402-98FB-45F3-A003-A17F29A3FFE6}" name="tbl_route_performance" displayName="tbl_route_performance" ref="A1:K401" tableType="queryTable" totalsRowShown="0">
  <autoFilter ref="A1:K401" xr:uid="{D7E86402-98FB-45F3-A003-A17F29A3FFE6}"/>
  <tableColumns count="11">
    <tableColumn id="1" xr3:uid="{6ECF1FBD-06CA-4266-AB16-7826702E01F8}" uniqueName="1" name="year" queryTableFieldId="1"/>
    <tableColumn id="2" xr3:uid="{64943083-CA7E-442D-AA55-2AD4B3742810}" uniqueName="2" name="route" queryTableFieldId="2" dataDxfId="47"/>
    <tableColumn id="3" xr3:uid="{3AFA92CD-A605-4507-8FCB-9B83686F7CB1}" uniqueName="3" name="origin_iata" queryTableFieldId="3" dataDxfId="46"/>
    <tableColumn id="4" xr3:uid="{88395EA9-E9F6-4094-84C8-E482AD4BCEBB}" uniqueName="4" name="destination_iata" queryTableFieldId="4" dataDxfId="45"/>
    <tableColumn id="5" xr3:uid="{2FE30063-0198-4273-A94F-A1AC821E1EE9}" uniqueName="5" name="distance_km" queryTableFieldId="5"/>
    <tableColumn id="6" xr3:uid="{F54B4422-2C9D-4E1A-976E-2E37D83DDB33}" uniqueName="6" name="region" queryTableFieldId="6" dataDxfId="44"/>
    <tableColumn id="7" xr3:uid="{2B8B2786-FD3A-41E3-ABF9-1E3AB54C7BB4}" uniqueName="7" name="main_airlines" queryTableFieldId="7" dataDxfId="43"/>
    <tableColumn id="8" xr3:uid="{33613D5D-8BBF-4B98-9021-181AED1F4062}" uniqueName="8" name="annual_passengers_m" queryTableFieldId="8"/>
    <tableColumn id="9" xr3:uid="{415FAD53-8BDC-42A1-BED6-31E727AA8051}" uniqueName="9" name="avg_fare_usd" queryTableFieldId="9"/>
    <tableColumn id="10" xr3:uid="{AC4EC1B0-C8AF-494D-AC07-E042AEDECF54}" uniqueName="10" name="weekly_frequency_est" queryTableFieldId="10"/>
    <tableColumn id="11" xr3:uid="{F10EEE7D-71F6-42C5-9D5F-6B787261EB37}" uniqueName="11" name="annual_revenue_usd_m" queryTableField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C7B433-A5F8-4A1A-8D69-C9472F9D3056}" name="tbl_aviation_incidents" displayName="tbl_aviation_incidents" ref="A1:P41" tableType="queryTable" totalsRowShown="0">
  <autoFilter ref="A1:P41" xr:uid="{CAC7B433-A5F8-4A1A-8D69-C9472F9D3056}"/>
  <tableColumns count="16">
    <tableColumn id="1" xr3:uid="{7ADF5BF8-2F83-405C-96E3-1E6BD0B720B1}" uniqueName="1" name="incident_id" queryTableFieldId="1" dataDxfId="42"/>
    <tableColumn id="2" xr3:uid="{3BB96868-C6B3-45D2-9421-F732DED1DEA9}" uniqueName="2" name="date" queryTableFieldId="2" dataDxfId="41"/>
    <tableColumn id="3" xr3:uid="{1807BF06-0A05-441D-A0A6-F98F96ABE182}" uniqueName="3" name="year" queryTableFieldId="3"/>
    <tableColumn id="4" xr3:uid="{6FC6F641-9510-435F-B0D2-56901A1CF6B5}" uniqueName="4" name="month" queryTableFieldId="4"/>
    <tableColumn id="5" xr3:uid="{72FB190F-8467-4032-859F-670A82A6C57E}" uniqueName="5" name="flight_number" queryTableFieldId="5" dataDxfId="40"/>
    <tableColumn id="6" xr3:uid="{3C3EE0C7-F8B6-4A08-9742-A0735CA1607F}" uniqueName="6" name="airline" queryTableFieldId="6" dataDxfId="39"/>
    <tableColumn id="7" xr3:uid="{2D80BC3D-9DE3-4AA2-A521-F9BA321BCEA1}" uniqueName="7" name="aircraft_type" queryTableFieldId="7" dataDxfId="38"/>
    <tableColumn id="8" xr3:uid="{9F7A6D44-4D53-4ECB-9648-BA3AAFAD73CF}" uniqueName="8" name="severity" queryTableFieldId="8" dataDxfId="37"/>
    <tableColumn id="9" xr3:uid="{8045CB6C-709C-46A5-BC49-D5C5B1191F70}" uniqueName="9" name="fatalities" queryTableFieldId="9"/>
    <tableColumn id="10" xr3:uid="{A3C150FC-DCEC-4B6F-8A3C-705F2425E15E}" uniqueName="10" name="location" queryTableFieldId="10" dataDxfId="36"/>
    <tableColumn id="11" xr3:uid="{6E8C3D7B-4915-4471-9094-97E860BB4DA9}" uniqueName="11" name="description" queryTableFieldId="11" dataDxfId="35"/>
    <tableColumn id="12" xr3:uid="{272787AB-D10A-49AC-8A3F-B6B7FD5F4B05}" uniqueName="12" name="is_fatal" queryTableFieldId="12"/>
    <tableColumn id="13" xr3:uid="{F279B856-F3E5-40DA-8849-EA7EFF00D570}" uniqueName="13" name="is_geopolitical" queryTableFieldId="13"/>
    <tableColumn id="14" xr3:uid="{374120A5-0C1A-488D-BED3-FDFC96B9766D}" uniqueName="14" name="is_boeing" queryTableFieldId="14"/>
    <tableColumn id="15" xr3:uid="{7C0C7BAE-956A-46A7-89CC-8ACBD39CB8A0}" uniqueName="15" name="is_airbus" queryTableFieldId="15"/>
    <tableColumn id="16" xr3:uid="{75178960-A142-4BEE-ACA1-4DB32A3616CF}" uniqueName="16" name="manufacturer" queryTableFieldId="16" dataDxfId="57">
      <calculatedColumnFormula>IF(tbl_aviation_incidents[[#This Row],[is_boeing]]=1,"Boeing",IF(tbl_aviation_incidents[[#This Row],[is_airbus]]=1,"Airbus","Other"))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5F81D-916C-435F-98C4-134B8DC722D2}">
  <sheetPr>
    <tabColor theme="9" tint="-0.249977111117893"/>
  </sheetPr>
  <dimension ref="A1:L498"/>
  <sheetViews>
    <sheetView topLeftCell="D423" workbookViewId="0">
      <selection activeCell="I1" sqref="I1"/>
    </sheetView>
  </sheetViews>
  <sheetFormatPr defaultRowHeight="15" x14ac:dyDescent="0.25"/>
  <cols>
    <col min="1" max="1" width="7.140625" bestFit="1" customWidth="1"/>
    <col min="2" max="2" width="19.140625" bestFit="1" customWidth="1"/>
    <col min="3" max="3" width="11.85546875" bestFit="1" customWidth="1"/>
    <col min="4" max="4" width="14.7109375" bestFit="1" customWidth="1"/>
    <col min="5" max="5" width="13.85546875" bestFit="1" customWidth="1"/>
    <col min="6" max="7" width="18.140625" bestFit="1" customWidth="1"/>
    <col min="8" max="8" width="22.85546875" bestFit="1" customWidth="1"/>
    <col min="9" max="9" width="27.140625" bestFit="1" customWidth="1"/>
    <col min="10" max="10" width="23.7109375" bestFit="1" customWidth="1"/>
    <col min="11" max="11" width="17.140625" bestFit="1" customWidth="1"/>
    <col min="12" max="12" width="15.855468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2010</v>
      </c>
      <c r="B2" s="1" t="s">
        <v>12</v>
      </c>
      <c r="C2" s="1" t="s">
        <v>13</v>
      </c>
      <c r="D2" s="1" t="s">
        <v>14</v>
      </c>
      <c r="E2" s="1" t="s">
        <v>15</v>
      </c>
      <c r="F2" s="1" t="s">
        <v>16</v>
      </c>
      <c r="G2">
        <v>32.090000000000003</v>
      </c>
      <c r="H2">
        <v>3.4</v>
      </c>
      <c r="I2">
        <v>1.0900000000000001</v>
      </c>
      <c r="J2">
        <v>48.1</v>
      </c>
      <c r="K2">
        <v>84.5</v>
      </c>
      <c r="L2">
        <v>160</v>
      </c>
    </row>
    <row r="3" spans="1:12" x14ac:dyDescent="0.25">
      <c r="A3">
        <v>2011</v>
      </c>
      <c r="B3" s="1" t="s">
        <v>12</v>
      </c>
      <c r="C3" s="1" t="s">
        <v>13</v>
      </c>
      <c r="D3" s="1" t="s">
        <v>14</v>
      </c>
      <c r="E3" s="1" t="s">
        <v>15</v>
      </c>
      <c r="F3" s="1" t="s">
        <v>16</v>
      </c>
      <c r="G3">
        <v>34.54</v>
      </c>
      <c r="H3">
        <v>1.1000000000000001</v>
      </c>
      <c r="I3">
        <v>0.39</v>
      </c>
      <c r="J3">
        <v>51.8</v>
      </c>
      <c r="K3">
        <v>80.400000000000006</v>
      </c>
      <c r="L3">
        <v>172</v>
      </c>
    </row>
    <row r="4" spans="1:12" x14ac:dyDescent="0.25">
      <c r="A4">
        <v>2012</v>
      </c>
      <c r="B4" s="1" t="s">
        <v>12</v>
      </c>
      <c r="C4" s="1" t="s">
        <v>13</v>
      </c>
      <c r="D4" s="1" t="s">
        <v>14</v>
      </c>
      <c r="E4" s="1" t="s">
        <v>15</v>
      </c>
      <c r="F4" s="1" t="s">
        <v>16</v>
      </c>
      <c r="G4">
        <v>35.5</v>
      </c>
      <c r="H4">
        <v>5.2</v>
      </c>
      <c r="I4">
        <v>1.85</v>
      </c>
      <c r="J4">
        <v>53.2</v>
      </c>
      <c r="K4">
        <v>83</v>
      </c>
      <c r="L4">
        <v>177</v>
      </c>
    </row>
    <row r="5" spans="1:12" x14ac:dyDescent="0.25">
      <c r="A5">
        <v>2013</v>
      </c>
      <c r="B5" s="1" t="s">
        <v>12</v>
      </c>
      <c r="C5" s="1" t="s">
        <v>13</v>
      </c>
      <c r="D5" s="1" t="s">
        <v>14</v>
      </c>
      <c r="E5" s="1" t="s">
        <v>15</v>
      </c>
      <c r="F5" s="1" t="s">
        <v>16</v>
      </c>
      <c r="G5">
        <v>36.200000000000003</v>
      </c>
      <c r="H5">
        <v>8.1999999999999993</v>
      </c>
      <c r="I5">
        <v>2.97</v>
      </c>
      <c r="J5">
        <v>54.3</v>
      </c>
      <c r="K5">
        <v>84.6</v>
      </c>
      <c r="L5">
        <v>181</v>
      </c>
    </row>
    <row r="6" spans="1:12" x14ac:dyDescent="0.25">
      <c r="A6">
        <v>2014</v>
      </c>
      <c r="B6" s="1" t="s">
        <v>12</v>
      </c>
      <c r="C6" s="1" t="s">
        <v>13</v>
      </c>
      <c r="D6" s="1" t="s">
        <v>14</v>
      </c>
      <c r="E6" s="1" t="s">
        <v>15</v>
      </c>
      <c r="F6" s="1" t="s">
        <v>16</v>
      </c>
      <c r="G6">
        <v>39</v>
      </c>
      <c r="H6">
        <v>8.8000000000000007</v>
      </c>
      <c r="I6">
        <v>3.44</v>
      </c>
      <c r="J6">
        <v>58.5</v>
      </c>
      <c r="K6">
        <v>83.9</v>
      </c>
      <c r="L6">
        <v>194</v>
      </c>
    </row>
    <row r="7" spans="1:12" x14ac:dyDescent="0.25">
      <c r="A7">
        <v>2015</v>
      </c>
      <c r="B7" s="1" t="s">
        <v>12</v>
      </c>
      <c r="C7" s="1" t="s">
        <v>13</v>
      </c>
      <c r="D7" s="1" t="s">
        <v>14</v>
      </c>
      <c r="E7" s="1" t="s">
        <v>15</v>
      </c>
      <c r="F7" s="1" t="s">
        <v>16</v>
      </c>
      <c r="G7">
        <v>39.659999999999997</v>
      </c>
      <c r="H7">
        <v>6.9</v>
      </c>
      <c r="I7">
        <v>2.75</v>
      </c>
      <c r="J7">
        <v>59.5</v>
      </c>
      <c r="K7">
        <v>81.099999999999994</v>
      </c>
      <c r="L7">
        <v>198</v>
      </c>
    </row>
    <row r="8" spans="1:12" x14ac:dyDescent="0.25">
      <c r="A8">
        <v>2016</v>
      </c>
      <c r="B8" s="1" t="s">
        <v>12</v>
      </c>
      <c r="C8" s="1" t="s">
        <v>13</v>
      </c>
      <c r="D8" s="1" t="s">
        <v>14</v>
      </c>
      <c r="E8" s="1" t="s">
        <v>15</v>
      </c>
      <c r="F8" s="1" t="s">
        <v>16</v>
      </c>
      <c r="G8">
        <v>43.05</v>
      </c>
      <c r="H8">
        <v>5.9</v>
      </c>
      <c r="I8">
        <v>2.5299999999999998</v>
      </c>
      <c r="J8">
        <v>64.599999999999994</v>
      </c>
      <c r="K8">
        <v>82.6</v>
      </c>
      <c r="L8">
        <v>215</v>
      </c>
    </row>
    <row r="9" spans="1:12" x14ac:dyDescent="0.25">
      <c r="A9">
        <v>2017</v>
      </c>
      <c r="B9" s="1" t="s">
        <v>12</v>
      </c>
      <c r="C9" s="1" t="s">
        <v>13</v>
      </c>
      <c r="D9" s="1" t="s">
        <v>14</v>
      </c>
      <c r="E9" s="1" t="s">
        <v>15</v>
      </c>
      <c r="F9" s="1" t="s">
        <v>16</v>
      </c>
      <c r="G9">
        <v>42.29</v>
      </c>
      <c r="H9">
        <v>5.9</v>
      </c>
      <c r="I9">
        <v>3.83</v>
      </c>
      <c r="J9">
        <v>63.4</v>
      </c>
      <c r="K9">
        <v>82.7</v>
      </c>
      <c r="L9">
        <v>211</v>
      </c>
    </row>
    <row r="10" spans="1:12" x14ac:dyDescent="0.25">
      <c r="A10">
        <v>2018</v>
      </c>
      <c r="B10" s="1" t="s">
        <v>12</v>
      </c>
      <c r="C10" s="1" t="s">
        <v>13</v>
      </c>
      <c r="D10" s="1" t="s">
        <v>14</v>
      </c>
      <c r="E10" s="1" t="s">
        <v>15</v>
      </c>
      <c r="F10" s="1" t="s">
        <v>16</v>
      </c>
      <c r="G10">
        <v>43.83</v>
      </c>
      <c r="H10">
        <v>5.9</v>
      </c>
      <c r="I10">
        <v>2.2400000000000002</v>
      </c>
      <c r="J10">
        <v>65.7</v>
      </c>
      <c r="K10">
        <v>84.1</v>
      </c>
      <c r="L10">
        <v>219</v>
      </c>
    </row>
    <row r="11" spans="1:12" x14ac:dyDescent="0.25">
      <c r="A11">
        <v>2019</v>
      </c>
      <c r="B11" s="1" t="s">
        <v>12</v>
      </c>
      <c r="C11" s="1" t="s">
        <v>13</v>
      </c>
      <c r="D11" s="1" t="s">
        <v>14</v>
      </c>
      <c r="E11" s="1" t="s">
        <v>15</v>
      </c>
      <c r="F11" s="1" t="s">
        <v>16</v>
      </c>
      <c r="G11">
        <v>47.52</v>
      </c>
      <c r="H11">
        <v>5.9</v>
      </c>
      <c r="I11">
        <v>3.34</v>
      </c>
      <c r="J11">
        <v>71.3</v>
      </c>
      <c r="K11">
        <v>83.9</v>
      </c>
      <c r="L11">
        <v>237</v>
      </c>
    </row>
    <row r="12" spans="1:12" x14ac:dyDescent="0.25">
      <c r="A12">
        <v>2020</v>
      </c>
      <c r="B12" s="1" t="s">
        <v>12</v>
      </c>
      <c r="C12" s="1" t="s">
        <v>13</v>
      </c>
      <c r="D12" s="1" t="s">
        <v>14</v>
      </c>
      <c r="E12" s="1" t="s">
        <v>15</v>
      </c>
      <c r="F12" s="1" t="s">
        <v>16</v>
      </c>
      <c r="G12">
        <v>18.23</v>
      </c>
      <c r="H12">
        <v>5.9</v>
      </c>
      <c r="I12">
        <v>-6.57</v>
      </c>
      <c r="J12">
        <v>27.4</v>
      </c>
      <c r="K12">
        <v>54</v>
      </c>
      <c r="L12">
        <v>91</v>
      </c>
    </row>
    <row r="13" spans="1:12" x14ac:dyDescent="0.25">
      <c r="A13">
        <v>2021</v>
      </c>
      <c r="B13" s="1" t="s">
        <v>12</v>
      </c>
      <c r="C13" s="1" t="s">
        <v>13</v>
      </c>
      <c r="D13" s="1" t="s">
        <v>14</v>
      </c>
      <c r="E13" s="1" t="s">
        <v>15</v>
      </c>
      <c r="F13" s="1" t="s">
        <v>16</v>
      </c>
      <c r="G13">
        <v>29.18</v>
      </c>
      <c r="H13">
        <v>5.9</v>
      </c>
      <c r="I13">
        <v>-4.8</v>
      </c>
      <c r="J13">
        <v>43.8</v>
      </c>
      <c r="K13">
        <v>72.3</v>
      </c>
      <c r="L13">
        <v>145</v>
      </c>
    </row>
    <row r="14" spans="1:12" x14ac:dyDescent="0.25">
      <c r="A14">
        <v>2022</v>
      </c>
      <c r="B14" s="1" t="s">
        <v>12</v>
      </c>
      <c r="C14" s="1" t="s">
        <v>13</v>
      </c>
      <c r="D14" s="1" t="s">
        <v>14</v>
      </c>
      <c r="E14" s="1" t="s">
        <v>15</v>
      </c>
      <c r="F14" s="1" t="s">
        <v>16</v>
      </c>
      <c r="G14">
        <v>50.43</v>
      </c>
      <c r="H14">
        <v>5.9</v>
      </c>
      <c r="I14">
        <v>-0.05</v>
      </c>
      <c r="J14">
        <v>75.599999999999994</v>
      </c>
      <c r="K14">
        <v>81.400000000000006</v>
      </c>
      <c r="L14">
        <v>252</v>
      </c>
    </row>
    <row r="15" spans="1:12" x14ac:dyDescent="0.25">
      <c r="A15">
        <v>2023</v>
      </c>
      <c r="B15" s="1" t="s">
        <v>12</v>
      </c>
      <c r="C15" s="1" t="s">
        <v>13</v>
      </c>
      <c r="D15" s="1" t="s">
        <v>14</v>
      </c>
      <c r="E15" s="1" t="s">
        <v>15</v>
      </c>
      <c r="F15" s="1" t="s">
        <v>16</v>
      </c>
      <c r="G15">
        <v>59.14</v>
      </c>
      <c r="H15">
        <v>5.9</v>
      </c>
      <c r="I15">
        <v>5.83</v>
      </c>
      <c r="J15">
        <v>88.7</v>
      </c>
      <c r="K15">
        <v>84.1</v>
      </c>
      <c r="L15">
        <v>295</v>
      </c>
    </row>
    <row r="16" spans="1:12" x14ac:dyDescent="0.25">
      <c r="A16">
        <v>2024</v>
      </c>
      <c r="B16" s="1" t="s">
        <v>12</v>
      </c>
      <c r="C16" s="1" t="s">
        <v>13</v>
      </c>
      <c r="D16" s="1" t="s">
        <v>14</v>
      </c>
      <c r="E16" s="1" t="s">
        <v>15</v>
      </c>
      <c r="F16" s="1" t="s">
        <v>16</v>
      </c>
      <c r="G16">
        <v>60.38</v>
      </c>
      <c r="H16">
        <v>5.9</v>
      </c>
      <c r="I16">
        <v>5.18</v>
      </c>
      <c r="J16">
        <v>90.6</v>
      </c>
      <c r="K16">
        <v>83.2</v>
      </c>
      <c r="L16">
        <v>301</v>
      </c>
    </row>
    <row r="17" spans="1:12" x14ac:dyDescent="0.25">
      <c r="A17">
        <v>2025</v>
      </c>
      <c r="B17" s="1" t="s">
        <v>12</v>
      </c>
      <c r="C17" s="1" t="s">
        <v>13</v>
      </c>
      <c r="D17" s="1" t="s">
        <v>14</v>
      </c>
      <c r="E17" s="1" t="s">
        <v>15</v>
      </c>
      <c r="F17" s="1" t="s">
        <v>16</v>
      </c>
      <c r="G17">
        <v>64.72</v>
      </c>
      <c r="H17">
        <v>5.9</v>
      </c>
      <c r="I17">
        <v>6.59</v>
      </c>
      <c r="J17">
        <v>97.1</v>
      </c>
      <c r="K17">
        <v>83.4</v>
      </c>
      <c r="L17">
        <v>323</v>
      </c>
    </row>
    <row r="18" spans="1:12" x14ac:dyDescent="0.25">
      <c r="A18">
        <v>2026</v>
      </c>
      <c r="B18" s="1" t="s">
        <v>12</v>
      </c>
      <c r="C18" s="1" t="s">
        <v>13</v>
      </c>
      <c r="D18" s="1" t="s">
        <v>14</v>
      </c>
      <c r="E18" s="1" t="s">
        <v>15</v>
      </c>
      <c r="F18" s="1" t="s">
        <v>16</v>
      </c>
      <c r="G18">
        <v>68.38</v>
      </c>
      <c r="H18">
        <v>5.9</v>
      </c>
      <c r="I18">
        <v>4.22</v>
      </c>
      <c r="J18">
        <v>102.6</v>
      </c>
      <c r="K18">
        <v>83.6</v>
      </c>
      <c r="L18">
        <v>341</v>
      </c>
    </row>
    <row r="19" spans="1:12" x14ac:dyDescent="0.25">
      <c r="A19">
        <v>2010</v>
      </c>
      <c r="B19" s="1" t="s">
        <v>17</v>
      </c>
      <c r="C19" s="1" t="s">
        <v>18</v>
      </c>
      <c r="D19" s="1" t="s">
        <v>14</v>
      </c>
      <c r="E19" s="1" t="s">
        <v>15</v>
      </c>
      <c r="F19" s="1" t="s">
        <v>16</v>
      </c>
      <c r="G19">
        <v>23.64</v>
      </c>
      <c r="H19">
        <v>5.9</v>
      </c>
      <c r="I19">
        <v>0.56000000000000005</v>
      </c>
      <c r="J19">
        <v>35.5</v>
      </c>
      <c r="K19">
        <v>82.4</v>
      </c>
      <c r="L19">
        <v>118</v>
      </c>
    </row>
    <row r="20" spans="1:12" x14ac:dyDescent="0.25">
      <c r="A20">
        <v>2011</v>
      </c>
      <c r="B20" s="1" t="s">
        <v>17</v>
      </c>
      <c r="C20" s="1" t="s">
        <v>18</v>
      </c>
      <c r="D20" s="1" t="s">
        <v>14</v>
      </c>
      <c r="E20" s="1" t="s">
        <v>15</v>
      </c>
      <c r="F20" s="1" t="s">
        <v>16</v>
      </c>
      <c r="G20">
        <v>25.77</v>
      </c>
      <c r="H20">
        <v>5.9</v>
      </c>
      <c r="I20">
        <v>1.1299999999999999</v>
      </c>
      <c r="J20">
        <v>38.700000000000003</v>
      </c>
      <c r="K20">
        <v>82.4</v>
      </c>
      <c r="L20">
        <v>128</v>
      </c>
    </row>
    <row r="21" spans="1:12" x14ac:dyDescent="0.25">
      <c r="A21">
        <v>2012</v>
      </c>
      <c r="B21" s="1" t="s">
        <v>17</v>
      </c>
      <c r="C21" s="1" t="s">
        <v>18</v>
      </c>
      <c r="D21" s="1" t="s">
        <v>14</v>
      </c>
      <c r="E21" s="1" t="s">
        <v>15</v>
      </c>
      <c r="F21" s="1" t="s">
        <v>16</v>
      </c>
      <c r="G21">
        <v>30.41</v>
      </c>
      <c r="H21">
        <v>5.9</v>
      </c>
      <c r="I21">
        <v>1.17</v>
      </c>
      <c r="J21">
        <v>45.6</v>
      </c>
      <c r="K21">
        <v>84.9</v>
      </c>
      <c r="L21">
        <v>152</v>
      </c>
    </row>
    <row r="22" spans="1:12" x14ac:dyDescent="0.25">
      <c r="A22">
        <v>2013</v>
      </c>
      <c r="B22" s="1" t="s">
        <v>17</v>
      </c>
      <c r="C22" s="1" t="s">
        <v>18</v>
      </c>
      <c r="D22" s="1" t="s">
        <v>14</v>
      </c>
      <c r="E22" s="1" t="s">
        <v>15</v>
      </c>
      <c r="F22" s="1" t="s">
        <v>16</v>
      </c>
      <c r="G22">
        <v>30.44</v>
      </c>
      <c r="H22">
        <v>5.9</v>
      </c>
      <c r="I22">
        <v>1.57</v>
      </c>
      <c r="J22">
        <v>45.7</v>
      </c>
      <c r="K22">
        <v>83.3</v>
      </c>
      <c r="L22">
        <v>152</v>
      </c>
    </row>
    <row r="23" spans="1:12" x14ac:dyDescent="0.25">
      <c r="A23">
        <v>2014</v>
      </c>
      <c r="B23" s="1" t="s">
        <v>17</v>
      </c>
      <c r="C23" s="1" t="s">
        <v>18</v>
      </c>
      <c r="D23" s="1" t="s">
        <v>14</v>
      </c>
      <c r="E23" s="1" t="s">
        <v>15</v>
      </c>
      <c r="F23" s="1" t="s">
        <v>16</v>
      </c>
      <c r="G23">
        <v>35.58</v>
      </c>
      <c r="H23">
        <v>5.9</v>
      </c>
      <c r="I23">
        <v>2.77</v>
      </c>
      <c r="J23">
        <v>53.4</v>
      </c>
      <c r="K23">
        <v>84.6</v>
      </c>
      <c r="L23">
        <v>177</v>
      </c>
    </row>
    <row r="24" spans="1:12" x14ac:dyDescent="0.25">
      <c r="A24">
        <v>2015</v>
      </c>
      <c r="B24" s="1" t="s">
        <v>17</v>
      </c>
      <c r="C24" s="1" t="s">
        <v>18</v>
      </c>
      <c r="D24" s="1" t="s">
        <v>14</v>
      </c>
      <c r="E24" s="1" t="s">
        <v>15</v>
      </c>
      <c r="F24" s="1" t="s">
        <v>16</v>
      </c>
      <c r="G24">
        <v>37.51</v>
      </c>
      <c r="H24">
        <v>5.9</v>
      </c>
      <c r="I24">
        <v>1.82</v>
      </c>
      <c r="J24">
        <v>56.3</v>
      </c>
      <c r="K24">
        <v>84.7</v>
      </c>
      <c r="L24">
        <v>187</v>
      </c>
    </row>
    <row r="25" spans="1:12" x14ac:dyDescent="0.25">
      <c r="A25">
        <v>2016</v>
      </c>
      <c r="B25" s="1" t="s">
        <v>17</v>
      </c>
      <c r="C25" s="1" t="s">
        <v>18</v>
      </c>
      <c r="D25" s="1" t="s">
        <v>14</v>
      </c>
      <c r="E25" s="1" t="s">
        <v>15</v>
      </c>
      <c r="F25" s="1" t="s">
        <v>16</v>
      </c>
      <c r="G25">
        <v>38.81</v>
      </c>
      <c r="H25">
        <v>5.9</v>
      </c>
      <c r="I25">
        <v>1.0900000000000001</v>
      </c>
      <c r="J25">
        <v>58.2</v>
      </c>
      <c r="K25">
        <v>80.7</v>
      </c>
      <c r="L25">
        <v>194</v>
      </c>
    </row>
    <row r="26" spans="1:12" x14ac:dyDescent="0.25">
      <c r="A26">
        <v>2017</v>
      </c>
      <c r="B26" s="1" t="s">
        <v>17</v>
      </c>
      <c r="C26" s="1" t="s">
        <v>18</v>
      </c>
      <c r="D26" s="1" t="s">
        <v>14</v>
      </c>
      <c r="E26" s="1" t="s">
        <v>15</v>
      </c>
      <c r="F26" s="1" t="s">
        <v>16</v>
      </c>
      <c r="G26">
        <v>39.07</v>
      </c>
      <c r="H26">
        <v>5.9</v>
      </c>
      <c r="I26">
        <v>2.83</v>
      </c>
      <c r="J26">
        <v>58.6</v>
      </c>
      <c r="K26">
        <v>83.3</v>
      </c>
      <c r="L26">
        <v>195</v>
      </c>
    </row>
    <row r="27" spans="1:12" x14ac:dyDescent="0.25">
      <c r="A27">
        <v>2018</v>
      </c>
      <c r="B27" s="1" t="s">
        <v>17</v>
      </c>
      <c r="C27" s="1" t="s">
        <v>18</v>
      </c>
      <c r="D27" s="1" t="s">
        <v>14</v>
      </c>
      <c r="E27" s="1" t="s">
        <v>15</v>
      </c>
      <c r="F27" s="1" t="s">
        <v>16</v>
      </c>
      <c r="G27">
        <v>42.16</v>
      </c>
      <c r="H27">
        <v>5.9</v>
      </c>
      <c r="I27">
        <v>2.08</v>
      </c>
      <c r="J27">
        <v>63.2</v>
      </c>
      <c r="K27">
        <v>83.3</v>
      </c>
      <c r="L27">
        <v>210</v>
      </c>
    </row>
    <row r="28" spans="1:12" x14ac:dyDescent="0.25">
      <c r="A28">
        <v>2019</v>
      </c>
      <c r="B28" s="1" t="s">
        <v>17</v>
      </c>
      <c r="C28" s="1" t="s">
        <v>18</v>
      </c>
      <c r="D28" s="1" t="s">
        <v>14</v>
      </c>
      <c r="E28" s="1" t="s">
        <v>15</v>
      </c>
      <c r="F28" s="1" t="s">
        <v>16</v>
      </c>
      <c r="G28">
        <v>44.12</v>
      </c>
      <c r="H28">
        <v>5.9</v>
      </c>
      <c r="I28">
        <v>2.31</v>
      </c>
      <c r="J28">
        <v>66.2</v>
      </c>
      <c r="K28">
        <v>83.9</v>
      </c>
      <c r="L28">
        <v>220</v>
      </c>
    </row>
    <row r="29" spans="1:12" x14ac:dyDescent="0.25">
      <c r="A29">
        <v>2020</v>
      </c>
      <c r="B29" s="1" t="s">
        <v>17</v>
      </c>
      <c r="C29" s="1" t="s">
        <v>18</v>
      </c>
      <c r="D29" s="1" t="s">
        <v>14</v>
      </c>
      <c r="E29" s="1" t="s">
        <v>15</v>
      </c>
      <c r="F29" s="1" t="s">
        <v>16</v>
      </c>
      <c r="G29">
        <v>15.1</v>
      </c>
      <c r="H29">
        <v>5.9</v>
      </c>
      <c r="I29">
        <v>-5.42</v>
      </c>
      <c r="J29">
        <v>22.6</v>
      </c>
      <c r="K29">
        <v>54.2</v>
      </c>
      <c r="L29">
        <v>75</v>
      </c>
    </row>
    <row r="30" spans="1:12" x14ac:dyDescent="0.25">
      <c r="A30">
        <v>2021</v>
      </c>
      <c r="B30" s="1" t="s">
        <v>17</v>
      </c>
      <c r="C30" s="1" t="s">
        <v>18</v>
      </c>
      <c r="D30" s="1" t="s">
        <v>14</v>
      </c>
      <c r="E30" s="1" t="s">
        <v>15</v>
      </c>
      <c r="F30" s="1" t="s">
        <v>16</v>
      </c>
      <c r="G30">
        <v>23.73</v>
      </c>
      <c r="H30">
        <v>5.9</v>
      </c>
      <c r="I30">
        <v>-3.98</v>
      </c>
      <c r="J30">
        <v>35.6</v>
      </c>
      <c r="K30">
        <v>69.099999999999994</v>
      </c>
      <c r="L30">
        <v>118</v>
      </c>
    </row>
    <row r="31" spans="1:12" x14ac:dyDescent="0.25">
      <c r="A31">
        <v>2022</v>
      </c>
      <c r="B31" s="1" t="s">
        <v>17</v>
      </c>
      <c r="C31" s="1" t="s">
        <v>18</v>
      </c>
      <c r="D31" s="1" t="s">
        <v>14</v>
      </c>
      <c r="E31" s="1" t="s">
        <v>15</v>
      </c>
      <c r="F31" s="1" t="s">
        <v>16</v>
      </c>
      <c r="G31">
        <v>45.02</v>
      </c>
      <c r="H31">
        <v>5.9</v>
      </c>
      <c r="I31">
        <v>1.44</v>
      </c>
      <c r="J31">
        <v>67.5</v>
      </c>
      <c r="K31">
        <v>83.9</v>
      </c>
      <c r="L31">
        <v>225</v>
      </c>
    </row>
    <row r="32" spans="1:12" x14ac:dyDescent="0.25">
      <c r="A32">
        <v>2023</v>
      </c>
      <c r="B32" s="1" t="s">
        <v>17</v>
      </c>
      <c r="C32" s="1" t="s">
        <v>18</v>
      </c>
      <c r="D32" s="1" t="s">
        <v>14</v>
      </c>
      <c r="E32" s="1" t="s">
        <v>15</v>
      </c>
      <c r="F32" s="1" t="s">
        <v>16</v>
      </c>
      <c r="G32">
        <v>54.78</v>
      </c>
      <c r="H32">
        <v>5.9</v>
      </c>
      <c r="I32">
        <v>4.25</v>
      </c>
      <c r="J32">
        <v>82.2</v>
      </c>
      <c r="K32">
        <v>82.2</v>
      </c>
      <c r="L32">
        <v>273</v>
      </c>
    </row>
    <row r="33" spans="1:12" x14ac:dyDescent="0.25">
      <c r="A33">
        <v>2024</v>
      </c>
      <c r="B33" s="1" t="s">
        <v>17</v>
      </c>
      <c r="C33" s="1" t="s">
        <v>18</v>
      </c>
      <c r="D33" s="1" t="s">
        <v>14</v>
      </c>
      <c r="E33" s="1" t="s">
        <v>15</v>
      </c>
      <c r="F33" s="1" t="s">
        <v>16</v>
      </c>
      <c r="G33">
        <v>56.96</v>
      </c>
      <c r="H33">
        <v>5.9</v>
      </c>
      <c r="I33">
        <v>2.15</v>
      </c>
      <c r="J33">
        <v>85.4</v>
      </c>
      <c r="K33">
        <v>80.099999999999994</v>
      </c>
      <c r="L33">
        <v>284</v>
      </c>
    </row>
    <row r="34" spans="1:12" x14ac:dyDescent="0.25">
      <c r="A34">
        <v>2025</v>
      </c>
      <c r="B34" s="1" t="s">
        <v>17</v>
      </c>
      <c r="C34" s="1" t="s">
        <v>18</v>
      </c>
      <c r="D34" s="1" t="s">
        <v>14</v>
      </c>
      <c r="E34" s="1" t="s">
        <v>15</v>
      </c>
      <c r="F34" s="1" t="s">
        <v>16</v>
      </c>
      <c r="G34">
        <v>58.19</v>
      </c>
      <c r="H34">
        <v>5.9</v>
      </c>
      <c r="I34">
        <v>3.2</v>
      </c>
      <c r="J34">
        <v>87.3</v>
      </c>
      <c r="K34">
        <v>83.8</v>
      </c>
      <c r="L34">
        <v>290</v>
      </c>
    </row>
    <row r="35" spans="1:12" x14ac:dyDescent="0.25">
      <c r="A35">
        <v>2026</v>
      </c>
      <c r="B35" s="1" t="s">
        <v>17</v>
      </c>
      <c r="C35" s="1" t="s">
        <v>18</v>
      </c>
      <c r="D35" s="1" t="s">
        <v>14</v>
      </c>
      <c r="E35" s="1" t="s">
        <v>15</v>
      </c>
      <c r="F35" s="1" t="s">
        <v>16</v>
      </c>
      <c r="G35">
        <v>62.28</v>
      </c>
      <c r="H35">
        <v>5.9</v>
      </c>
      <c r="I35">
        <v>3.15</v>
      </c>
      <c r="J35">
        <v>93.4</v>
      </c>
      <c r="K35">
        <v>85.6</v>
      </c>
      <c r="L35">
        <v>311</v>
      </c>
    </row>
    <row r="36" spans="1:12" x14ac:dyDescent="0.25">
      <c r="A36">
        <v>2010</v>
      </c>
      <c r="B36" s="1" t="s">
        <v>19</v>
      </c>
      <c r="C36" s="1" t="s">
        <v>20</v>
      </c>
      <c r="D36" s="1" t="s">
        <v>14</v>
      </c>
      <c r="E36" s="1" t="s">
        <v>15</v>
      </c>
      <c r="F36" s="1" t="s">
        <v>16</v>
      </c>
      <c r="G36">
        <v>21.96</v>
      </c>
      <c r="H36">
        <v>5.9</v>
      </c>
      <c r="I36">
        <v>1.72</v>
      </c>
      <c r="J36">
        <v>32.9</v>
      </c>
      <c r="K36">
        <v>81.099999999999994</v>
      </c>
      <c r="L36">
        <v>109</v>
      </c>
    </row>
    <row r="37" spans="1:12" x14ac:dyDescent="0.25">
      <c r="A37">
        <v>2011</v>
      </c>
      <c r="B37" s="1" t="s">
        <v>19</v>
      </c>
      <c r="C37" s="1" t="s">
        <v>20</v>
      </c>
      <c r="D37" s="1" t="s">
        <v>14</v>
      </c>
      <c r="E37" s="1" t="s">
        <v>15</v>
      </c>
      <c r="F37" s="1" t="s">
        <v>16</v>
      </c>
      <c r="G37">
        <v>25.78</v>
      </c>
      <c r="H37">
        <v>5.9</v>
      </c>
      <c r="I37">
        <v>0.93</v>
      </c>
      <c r="J37">
        <v>38.700000000000003</v>
      </c>
      <c r="K37">
        <v>82.3</v>
      </c>
      <c r="L37">
        <v>128</v>
      </c>
    </row>
    <row r="38" spans="1:12" x14ac:dyDescent="0.25">
      <c r="A38">
        <v>2012</v>
      </c>
      <c r="B38" s="1" t="s">
        <v>19</v>
      </c>
      <c r="C38" s="1" t="s">
        <v>20</v>
      </c>
      <c r="D38" s="1" t="s">
        <v>14</v>
      </c>
      <c r="E38" s="1" t="s">
        <v>15</v>
      </c>
      <c r="F38" s="1" t="s">
        <v>16</v>
      </c>
      <c r="G38">
        <v>30.44</v>
      </c>
      <c r="H38">
        <v>5.9</v>
      </c>
      <c r="I38">
        <v>0.51</v>
      </c>
      <c r="J38">
        <v>45.7</v>
      </c>
      <c r="K38">
        <v>83.9</v>
      </c>
      <c r="L38">
        <v>152</v>
      </c>
    </row>
    <row r="39" spans="1:12" x14ac:dyDescent="0.25">
      <c r="A39">
        <v>2013</v>
      </c>
      <c r="B39" s="1" t="s">
        <v>19</v>
      </c>
      <c r="C39" s="1" t="s">
        <v>20</v>
      </c>
      <c r="D39" s="1" t="s">
        <v>14</v>
      </c>
      <c r="E39" s="1" t="s">
        <v>15</v>
      </c>
      <c r="F39" s="1" t="s">
        <v>16</v>
      </c>
      <c r="G39">
        <v>33.659999999999997</v>
      </c>
      <c r="H39">
        <v>5.9</v>
      </c>
      <c r="I39">
        <v>1.52</v>
      </c>
      <c r="J39">
        <v>50.5</v>
      </c>
      <c r="K39">
        <v>80.099999999999994</v>
      </c>
      <c r="L39">
        <v>168</v>
      </c>
    </row>
    <row r="40" spans="1:12" x14ac:dyDescent="0.25">
      <c r="A40">
        <v>2014</v>
      </c>
      <c r="B40" s="1" t="s">
        <v>19</v>
      </c>
      <c r="C40" s="1" t="s">
        <v>20</v>
      </c>
      <c r="D40" s="1" t="s">
        <v>14</v>
      </c>
      <c r="E40" s="1" t="s">
        <v>15</v>
      </c>
      <c r="F40" s="1" t="s">
        <v>16</v>
      </c>
      <c r="G40">
        <v>37.24</v>
      </c>
      <c r="H40">
        <v>5.9</v>
      </c>
      <c r="I40">
        <v>1.74</v>
      </c>
      <c r="J40">
        <v>55.9</v>
      </c>
      <c r="K40">
        <v>83.5</v>
      </c>
      <c r="L40">
        <v>186</v>
      </c>
    </row>
    <row r="41" spans="1:12" x14ac:dyDescent="0.25">
      <c r="A41">
        <v>2015</v>
      </c>
      <c r="B41" s="1" t="s">
        <v>19</v>
      </c>
      <c r="C41" s="1" t="s">
        <v>20</v>
      </c>
      <c r="D41" s="1" t="s">
        <v>14</v>
      </c>
      <c r="E41" s="1" t="s">
        <v>15</v>
      </c>
      <c r="F41" s="1" t="s">
        <v>16</v>
      </c>
      <c r="G41">
        <v>40.93</v>
      </c>
      <c r="H41">
        <v>5.9</v>
      </c>
      <c r="I41">
        <v>4.09</v>
      </c>
      <c r="J41">
        <v>61.4</v>
      </c>
      <c r="K41">
        <v>82.5</v>
      </c>
      <c r="L41">
        <v>204</v>
      </c>
    </row>
    <row r="42" spans="1:12" x14ac:dyDescent="0.25">
      <c r="A42">
        <v>2016</v>
      </c>
      <c r="B42" s="1" t="s">
        <v>19</v>
      </c>
      <c r="C42" s="1" t="s">
        <v>20</v>
      </c>
      <c r="D42" s="1" t="s">
        <v>14</v>
      </c>
      <c r="E42" s="1" t="s">
        <v>15</v>
      </c>
      <c r="F42" s="1" t="s">
        <v>16</v>
      </c>
      <c r="G42">
        <v>40.83</v>
      </c>
      <c r="H42">
        <v>5.9</v>
      </c>
      <c r="I42">
        <v>2.63</v>
      </c>
      <c r="J42">
        <v>61.2</v>
      </c>
      <c r="K42">
        <v>83.4</v>
      </c>
      <c r="L42">
        <v>204</v>
      </c>
    </row>
    <row r="43" spans="1:12" x14ac:dyDescent="0.25">
      <c r="A43">
        <v>2017</v>
      </c>
      <c r="B43" s="1" t="s">
        <v>19</v>
      </c>
      <c r="C43" s="1" t="s">
        <v>20</v>
      </c>
      <c r="D43" s="1" t="s">
        <v>14</v>
      </c>
      <c r="E43" s="1" t="s">
        <v>15</v>
      </c>
      <c r="F43" s="1" t="s">
        <v>16</v>
      </c>
      <c r="G43">
        <v>45.1</v>
      </c>
      <c r="H43">
        <v>5.9</v>
      </c>
      <c r="I43">
        <v>3.65</v>
      </c>
      <c r="J43">
        <v>67.7</v>
      </c>
      <c r="K43">
        <v>83.7</v>
      </c>
      <c r="L43">
        <v>225</v>
      </c>
    </row>
    <row r="44" spans="1:12" x14ac:dyDescent="0.25">
      <c r="A44">
        <v>2018</v>
      </c>
      <c r="B44" s="1" t="s">
        <v>19</v>
      </c>
      <c r="C44" s="1" t="s">
        <v>20</v>
      </c>
      <c r="D44" s="1" t="s">
        <v>14</v>
      </c>
      <c r="E44" s="1" t="s">
        <v>15</v>
      </c>
      <c r="F44" s="1" t="s">
        <v>16</v>
      </c>
      <c r="G44">
        <v>46.5</v>
      </c>
      <c r="H44">
        <v>5.9</v>
      </c>
      <c r="I44">
        <v>1.41</v>
      </c>
      <c r="J44">
        <v>69.7</v>
      </c>
      <c r="K44">
        <v>81.7</v>
      </c>
      <c r="L44">
        <v>232</v>
      </c>
    </row>
    <row r="45" spans="1:12" x14ac:dyDescent="0.25">
      <c r="A45">
        <v>2019</v>
      </c>
      <c r="B45" s="1" t="s">
        <v>19</v>
      </c>
      <c r="C45" s="1" t="s">
        <v>20</v>
      </c>
      <c r="D45" s="1" t="s">
        <v>14</v>
      </c>
      <c r="E45" s="1" t="s">
        <v>15</v>
      </c>
      <c r="F45" s="1" t="s">
        <v>16</v>
      </c>
      <c r="G45">
        <v>44.54</v>
      </c>
      <c r="H45">
        <v>5.9</v>
      </c>
      <c r="I45">
        <v>0.9</v>
      </c>
      <c r="J45">
        <v>66.8</v>
      </c>
      <c r="K45">
        <v>80.2</v>
      </c>
      <c r="L45">
        <v>222</v>
      </c>
    </row>
    <row r="46" spans="1:12" x14ac:dyDescent="0.25">
      <c r="A46">
        <v>2020</v>
      </c>
      <c r="B46" s="1" t="s">
        <v>19</v>
      </c>
      <c r="C46" s="1" t="s">
        <v>20</v>
      </c>
      <c r="D46" s="1" t="s">
        <v>14</v>
      </c>
      <c r="E46" s="1" t="s">
        <v>15</v>
      </c>
      <c r="F46" s="1" t="s">
        <v>16</v>
      </c>
      <c r="G46">
        <v>17.63</v>
      </c>
      <c r="H46">
        <v>5.9</v>
      </c>
      <c r="I46">
        <v>-6.27</v>
      </c>
      <c r="J46">
        <v>26.4</v>
      </c>
      <c r="K46">
        <v>52.1</v>
      </c>
      <c r="L46">
        <v>88</v>
      </c>
    </row>
    <row r="47" spans="1:12" x14ac:dyDescent="0.25">
      <c r="A47">
        <v>2021</v>
      </c>
      <c r="B47" s="1" t="s">
        <v>19</v>
      </c>
      <c r="C47" s="1" t="s">
        <v>20</v>
      </c>
      <c r="D47" s="1" t="s">
        <v>14</v>
      </c>
      <c r="E47" s="1" t="s">
        <v>15</v>
      </c>
      <c r="F47" s="1" t="s">
        <v>16</v>
      </c>
      <c r="G47">
        <v>29</v>
      </c>
      <c r="H47">
        <v>5.9</v>
      </c>
      <c r="I47">
        <v>-4.99</v>
      </c>
      <c r="J47">
        <v>43.5</v>
      </c>
      <c r="K47">
        <v>71.7</v>
      </c>
      <c r="L47">
        <v>145</v>
      </c>
    </row>
    <row r="48" spans="1:12" x14ac:dyDescent="0.25">
      <c r="A48">
        <v>2022</v>
      </c>
      <c r="B48" s="1" t="s">
        <v>19</v>
      </c>
      <c r="C48" s="1" t="s">
        <v>20</v>
      </c>
      <c r="D48" s="1" t="s">
        <v>14</v>
      </c>
      <c r="E48" s="1" t="s">
        <v>15</v>
      </c>
      <c r="F48" s="1" t="s">
        <v>16</v>
      </c>
      <c r="G48">
        <v>51.92</v>
      </c>
      <c r="H48">
        <v>5.9</v>
      </c>
      <c r="I48">
        <v>4.82</v>
      </c>
      <c r="J48">
        <v>77.900000000000006</v>
      </c>
      <c r="K48">
        <v>83.8</v>
      </c>
      <c r="L48">
        <v>259</v>
      </c>
    </row>
    <row r="49" spans="1:12" x14ac:dyDescent="0.25">
      <c r="A49">
        <v>2023</v>
      </c>
      <c r="B49" s="1" t="s">
        <v>19</v>
      </c>
      <c r="C49" s="1" t="s">
        <v>20</v>
      </c>
      <c r="D49" s="1" t="s">
        <v>14</v>
      </c>
      <c r="E49" s="1" t="s">
        <v>15</v>
      </c>
      <c r="F49" s="1" t="s">
        <v>16</v>
      </c>
      <c r="G49">
        <v>51.26</v>
      </c>
      <c r="H49">
        <v>5.9</v>
      </c>
      <c r="I49">
        <v>1.37</v>
      </c>
      <c r="J49">
        <v>76.900000000000006</v>
      </c>
      <c r="K49">
        <v>83.5</v>
      </c>
      <c r="L49">
        <v>256</v>
      </c>
    </row>
    <row r="50" spans="1:12" x14ac:dyDescent="0.25">
      <c r="A50">
        <v>2024</v>
      </c>
      <c r="B50" s="1" t="s">
        <v>19</v>
      </c>
      <c r="C50" s="1" t="s">
        <v>20</v>
      </c>
      <c r="D50" s="1" t="s">
        <v>14</v>
      </c>
      <c r="E50" s="1" t="s">
        <v>15</v>
      </c>
      <c r="F50" s="1" t="s">
        <v>16</v>
      </c>
      <c r="G50">
        <v>52.89</v>
      </c>
      <c r="H50">
        <v>5.9</v>
      </c>
      <c r="I50">
        <v>3.68</v>
      </c>
      <c r="J50">
        <v>79.3</v>
      </c>
      <c r="K50">
        <v>81.8</v>
      </c>
      <c r="L50">
        <v>264</v>
      </c>
    </row>
    <row r="51" spans="1:12" x14ac:dyDescent="0.25">
      <c r="A51">
        <v>2025</v>
      </c>
      <c r="B51" s="1" t="s">
        <v>19</v>
      </c>
      <c r="C51" s="1" t="s">
        <v>20</v>
      </c>
      <c r="D51" s="1" t="s">
        <v>14</v>
      </c>
      <c r="E51" s="1" t="s">
        <v>15</v>
      </c>
      <c r="F51" s="1" t="s">
        <v>16</v>
      </c>
      <c r="G51">
        <v>55.86</v>
      </c>
      <c r="H51">
        <v>5.9</v>
      </c>
      <c r="I51">
        <v>5.96</v>
      </c>
      <c r="J51">
        <v>83.8</v>
      </c>
      <c r="K51">
        <v>83.3</v>
      </c>
      <c r="L51">
        <v>279</v>
      </c>
    </row>
    <row r="52" spans="1:12" x14ac:dyDescent="0.25">
      <c r="A52">
        <v>2026</v>
      </c>
      <c r="B52" s="1" t="s">
        <v>19</v>
      </c>
      <c r="C52" s="1" t="s">
        <v>20</v>
      </c>
      <c r="D52" s="1" t="s">
        <v>14</v>
      </c>
      <c r="E52" s="1" t="s">
        <v>15</v>
      </c>
      <c r="F52" s="1" t="s">
        <v>16</v>
      </c>
      <c r="G52">
        <v>57.72</v>
      </c>
      <c r="H52">
        <v>5.9</v>
      </c>
      <c r="I52">
        <v>1.97</v>
      </c>
      <c r="J52">
        <v>86.6</v>
      </c>
      <c r="K52">
        <v>79.7</v>
      </c>
      <c r="L52">
        <v>288</v>
      </c>
    </row>
    <row r="53" spans="1:12" x14ac:dyDescent="0.25">
      <c r="A53">
        <v>2010</v>
      </c>
      <c r="B53" s="1" t="s">
        <v>21</v>
      </c>
      <c r="C53" s="1" t="s">
        <v>22</v>
      </c>
      <c r="D53" s="1" t="s">
        <v>14</v>
      </c>
      <c r="E53" s="1" t="s">
        <v>15</v>
      </c>
      <c r="F53" s="1" t="s">
        <v>23</v>
      </c>
      <c r="G53">
        <v>11.92</v>
      </c>
      <c r="H53">
        <v>5.9</v>
      </c>
      <c r="I53">
        <v>1.41</v>
      </c>
      <c r="J53">
        <v>47.7</v>
      </c>
      <c r="K53">
        <v>90.5</v>
      </c>
      <c r="L53">
        <v>59</v>
      </c>
    </row>
    <row r="54" spans="1:12" x14ac:dyDescent="0.25">
      <c r="A54">
        <v>2011</v>
      </c>
      <c r="B54" s="1" t="s">
        <v>21</v>
      </c>
      <c r="C54" s="1" t="s">
        <v>22</v>
      </c>
      <c r="D54" s="1" t="s">
        <v>14</v>
      </c>
      <c r="E54" s="1" t="s">
        <v>15</v>
      </c>
      <c r="F54" s="1" t="s">
        <v>23</v>
      </c>
      <c r="G54">
        <v>13.69</v>
      </c>
      <c r="H54">
        <v>5.9</v>
      </c>
      <c r="I54">
        <v>1.98</v>
      </c>
      <c r="J54">
        <v>54.8</v>
      </c>
      <c r="K54">
        <v>86</v>
      </c>
      <c r="L54">
        <v>68</v>
      </c>
    </row>
    <row r="55" spans="1:12" x14ac:dyDescent="0.25">
      <c r="A55">
        <v>2012</v>
      </c>
      <c r="B55" s="1" t="s">
        <v>21</v>
      </c>
      <c r="C55" s="1" t="s">
        <v>22</v>
      </c>
      <c r="D55" s="1" t="s">
        <v>14</v>
      </c>
      <c r="E55" s="1" t="s">
        <v>15</v>
      </c>
      <c r="F55" s="1" t="s">
        <v>23</v>
      </c>
      <c r="G55">
        <v>14.65</v>
      </c>
      <c r="H55">
        <v>5.9</v>
      </c>
      <c r="I55">
        <v>1.4</v>
      </c>
      <c r="J55">
        <v>58.6</v>
      </c>
      <c r="K55">
        <v>85.5</v>
      </c>
      <c r="L55">
        <v>73</v>
      </c>
    </row>
    <row r="56" spans="1:12" x14ac:dyDescent="0.25">
      <c r="A56">
        <v>2013</v>
      </c>
      <c r="B56" s="1" t="s">
        <v>21</v>
      </c>
      <c r="C56" s="1" t="s">
        <v>22</v>
      </c>
      <c r="D56" s="1" t="s">
        <v>14</v>
      </c>
      <c r="E56" s="1" t="s">
        <v>15</v>
      </c>
      <c r="F56" s="1" t="s">
        <v>23</v>
      </c>
      <c r="G56">
        <v>17.82</v>
      </c>
      <c r="H56">
        <v>5.9</v>
      </c>
      <c r="I56">
        <v>1.77</v>
      </c>
      <c r="J56">
        <v>71.3</v>
      </c>
      <c r="K56">
        <v>88.7</v>
      </c>
      <c r="L56">
        <v>89</v>
      </c>
    </row>
    <row r="57" spans="1:12" x14ac:dyDescent="0.25">
      <c r="A57">
        <v>2014</v>
      </c>
      <c r="B57" s="1" t="s">
        <v>21</v>
      </c>
      <c r="C57" s="1" t="s">
        <v>22</v>
      </c>
      <c r="D57" s="1" t="s">
        <v>14</v>
      </c>
      <c r="E57" s="1" t="s">
        <v>15</v>
      </c>
      <c r="F57" s="1" t="s">
        <v>23</v>
      </c>
      <c r="G57">
        <v>17.77</v>
      </c>
      <c r="H57">
        <v>5.9</v>
      </c>
      <c r="I57">
        <v>2.5499999999999998</v>
      </c>
      <c r="J57">
        <v>71.099999999999994</v>
      </c>
      <c r="K57">
        <v>87.8</v>
      </c>
      <c r="L57">
        <v>88</v>
      </c>
    </row>
    <row r="58" spans="1:12" x14ac:dyDescent="0.25">
      <c r="A58">
        <v>2015</v>
      </c>
      <c r="B58" s="1" t="s">
        <v>21</v>
      </c>
      <c r="C58" s="1" t="s">
        <v>22</v>
      </c>
      <c r="D58" s="1" t="s">
        <v>14</v>
      </c>
      <c r="E58" s="1" t="s">
        <v>15</v>
      </c>
      <c r="F58" s="1" t="s">
        <v>23</v>
      </c>
      <c r="G58">
        <v>19.71</v>
      </c>
      <c r="H58">
        <v>5.9</v>
      </c>
      <c r="I58">
        <v>2.34</v>
      </c>
      <c r="J58">
        <v>78.8</v>
      </c>
      <c r="K58">
        <v>85.7</v>
      </c>
      <c r="L58">
        <v>98</v>
      </c>
    </row>
    <row r="59" spans="1:12" x14ac:dyDescent="0.25">
      <c r="A59">
        <v>2016</v>
      </c>
      <c r="B59" s="1" t="s">
        <v>21</v>
      </c>
      <c r="C59" s="1" t="s">
        <v>22</v>
      </c>
      <c r="D59" s="1" t="s">
        <v>14</v>
      </c>
      <c r="E59" s="1" t="s">
        <v>15</v>
      </c>
      <c r="F59" s="1" t="s">
        <v>23</v>
      </c>
      <c r="G59">
        <v>20.78</v>
      </c>
      <c r="H59">
        <v>5.9</v>
      </c>
      <c r="I59">
        <v>2.2599999999999998</v>
      </c>
      <c r="J59">
        <v>83.1</v>
      </c>
      <c r="K59">
        <v>84.5</v>
      </c>
      <c r="L59">
        <v>103</v>
      </c>
    </row>
    <row r="60" spans="1:12" x14ac:dyDescent="0.25">
      <c r="A60">
        <v>2017</v>
      </c>
      <c r="B60" s="1" t="s">
        <v>21</v>
      </c>
      <c r="C60" s="1" t="s">
        <v>22</v>
      </c>
      <c r="D60" s="1" t="s">
        <v>14</v>
      </c>
      <c r="E60" s="1" t="s">
        <v>15</v>
      </c>
      <c r="F60" s="1" t="s">
        <v>23</v>
      </c>
      <c r="G60">
        <v>20.399999999999999</v>
      </c>
      <c r="H60">
        <v>5.9</v>
      </c>
      <c r="I60">
        <v>2.54</v>
      </c>
      <c r="J60">
        <v>81.599999999999994</v>
      </c>
      <c r="K60">
        <v>90.2</v>
      </c>
      <c r="L60">
        <v>102</v>
      </c>
    </row>
    <row r="61" spans="1:12" x14ac:dyDescent="0.25">
      <c r="A61">
        <v>2018</v>
      </c>
      <c r="B61" s="1" t="s">
        <v>21</v>
      </c>
      <c r="C61" s="1" t="s">
        <v>22</v>
      </c>
      <c r="D61" s="1" t="s">
        <v>14</v>
      </c>
      <c r="E61" s="1" t="s">
        <v>15</v>
      </c>
      <c r="F61" s="1" t="s">
        <v>23</v>
      </c>
      <c r="G61">
        <v>22.01</v>
      </c>
      <c r="H61">
        <v>5.9</v>
      </c>
      <c r="I61">
        <v>2.58</v>
      </c>
      <c r="J61">
        <v>88</v>
      </c>
      <c r="K61">
        <v>87.6</v>
      </c>
      <c r="L61">
        <v>110</v>
      </c>
    </row>
    <row r="62" spans="1:12" x14ac:dyDescent="0.25">
      <c r="A62">
        <v>2019</v>
      </c>
      <c r="B62" s="1" t="s">
        <v>21</v>
      </c>
      <c r="C62" s="1" t="s">
        <v>22</v>
      </c>
      <c r="D62" s="1" t="s">
        <v>14</v>
      </c>
      <c r="E62" s="1" t="s">
        <v>15</v>
      </c>
      <c r="F62" s="1" t="s">
        <v>23</v>
      </c>
      <c r="G62">
        <v>23.3</v>
      </c>
      <c r="H62">
        <v>5.9</v>
      </c>
      <c r="I62">
        <v>2.2200000000000002</v>
      </c>
      <c r="J62">
        <v>93.2</v>
      </c>
      <c r="K62">
        <v>86.2</v>
      </c>
      <c r="L62">
        <v>116</v>
      </c>
    </row>
    <row r="63" spans="1:12" x14ac:dyDescent="0.25">
      <c r="A63">
        <v>2020</v>
      </c>
      <c r="B63" s="1" t="s">
        <v>21</v>
      </c>
      <c r="C63" s="1" t="s">
        <v>22</v>
      </c>
      <c r="D63" s="1" t="s">
        <v>14</v>
      </c>
      <c r="E63" s="1" t="s">
        <v>15</v>
      </c>
      <c r="F63" s="1" t="s">
        <v>23</v>
      </c>
      <c r="G63">
        <v>9.3000000000000007</v>
      </c>
      <c r="H63">
        <v>5.9</v>
      </c>
      <c r="I63">
        <v>-3.16</v>
      </c>
      <c r="J63">
        <v>37.200000000000003</v>
      </c>
      <c r="K63">
        <v>58.1</v>
      </c>
      <c r="L63">
        <v>46</v>
      </c>
    </row>
    <row r="64" spans="1:12" x14ac:dyDescent="0.25">
      <c r="A64">
        <v>2021</v>
      </c>
      <c r="B64" s="1" t="s">
        <v>21</v>
      </c>
      <c r="C64" s="1" t="s">
        <v>22</v>
      </c>
      <c r="D64" s="1" t="s">
        <v>14</v>
      </c>
      <c r="E64" s="1" t="s">
        <v>15</v>
      </c>
      <c r="F64" s="1" t="s">
        <v>23</v>
      </c>
      <c r="G64">
        <v>15.89</v>
      </c>
      <c r="H64">
        <v>5.9</v>
      </c>
      <c r="I64">
        <v>-3.35</v>
      </c>
      <c r="J64">
        <v>63.5</v>
      </c>
      <c r="K64">
        <v>67.3</v>
      </c>
      <c r="L64">
        <v>79</v>
      </c>
    </row>
    <row r="65" spans="1:12" x14ac:dyDescent="0.25">
      <c r="A65">
        <v>2022</v>
      </c>
      <c r="B65" s="1" t="s">
        <v>21</v>
      </c>
      <c r="C65" s="1" t="s">
        <v>22</v>
      </c>
      <c r="D65" s="1" t="s">
        <v>14</v>
      </c>
      <c r="E65" s="1" t="s">
        <v>15</v>
      </c>
      <c r="F65" s="1" t="s">
        <v>23</v>
      </c>
      <c r="G65">
        <v>25.01</v>
      </c>
      <c r="H65">
        <v>5.9</v>
      </c>
      <c r="I65">
        <v>1.58</v>
      </c>
      <c r="J65">
        <v>100</v>
      </c>
      <c r="K65">
        <v>86.6</v>
      </c>
      <c r="L65">
        <v>125</v>
      </c>
    </row>
    <row r="66" spans="1:12" x14ac:dyDescent="0.25">
      <c r="A66">
        <v>2023</v>
      </c>
      <c r="B66" s="1" t="s">
        <v>21</v>
      </c>
      <c r="C66" s="1" t="s">
        <v>22</v>
      </c>
      <c r="D66" s="1" t="s">
        <v>14</v>
      </c>
      <c r="E66" s="1" t="s">
        <v>15</v>
      </c>
      <c r="F66" s="1" t="s">
        <v>23</v>
      </c>
      <c r="G66">
        <v>25.8</v>
      </c>
      <c r="H66">
        <v>5.9</v>
      </c>
      <c r="I66">
        <v>4.04</v>
      </c>
      <c r="J66">
        <v>103.2</v>
      </c>
      <c r="K66">
        <v>84.8</v>
      </c>
      <c r="L66">
        <v>129</v>
      </c>
    </row>
    <row r="67" spans="1:12" x14ac:dyDescent="0.25">
      <c r="A67">
        <v>2024</v>
      </c>
      <c r="B67" s="1" t="s">
        <v>21</v>
      </c>
      <c r="C67" s="1" t="s">
        <v>22</v>
      </c>
      <c r="D67" s="1" t="s">
        <v>14</v>
      </c>
      <c r="E67" s="1" t="s">
        <v>15</v>
      </c>
      <c r="F67" s="1" t="s">
        <v>23</v>
      </c>
      <c r="G67">
        <v>26.77</v>
      </c>
      <c r="H67">
        <v>5.9</v>
      </c>
      <c r="I67">
        <v>3.64</v>
      </c>
      <c r="J67">
        <v>107.1</v>
      </c>
      <c r="K67">
        <v>86.2</v>
      </c>
      <c r="L67">
        <v>133</v>
      </c>
    </row>
    <row r="68" spans="1:12" x14ac:dyDescent="0.25">
      <c r="A68">
        <v>2025</v>
      </c>
      <c r="B68" s="1" t="s">
        <v>21</v>
      </c>
      <c r="C68" s="1" t="s">
        <v>22</v>
      </c>
      <c r="D68" s="1" t="s">
        <v>14</v>
      </c>
      <c r="E68" s="1" t="s">
        <v>15</v>
      </c>
      <c r="F68" s="1" t="s">
        <v>23</v>
      </c>
      <c r="G68">
        <v>29.25</v>
      </c>
      <c r="H68">
        <v>5.9</v>
      </c>
      <c r="I68">
        <v>3.39</v>
      </c>
      <c r="J68">
        <v>117</v>
      </c>
      <c r="K68">
        <v>87.7</v>
      </c>
      <c r="L68">
        <v>146</v>
      </c>
    </row>
    <row r="69" spans="1:12" x14ac:dyDescent="0.25">
      <c r="A69">
        <v>2026</v>
      </c>
      <c r="B69" s="1" t="s">
        <v>21</v>
      </c>
      <c r="C69" s="1" t="s">
        <v>22</v>
      </c>
      <c r="D69" s="1" t="s">
        <v>14</v>
      </c>
      <c r="E69" s="1" t="s">
        <v>15</v>
      </c>
      <c r="F69" s="1" t="s">
        <v>23</v>
      </c>
      <c r="G69">
        <v>32.340000000000003</v>
      </c>
      <c r="H69">
        <v>5.9</v>
      </c>
      <c r="I69">
        <v>3.95</v>
      </c>
      <c r="J69">
        <v>129.30000000000001</v>
      </c>
      <c r="K69">
        <v>88.3</v>
      </c>
      <c r="L69">
        <v>161</v>
      </c>
    </row>
    <row r="70" spans="1:12" x14ac:dyDescent="0.25">
      <c r="A70">
        <v>2010</v>
      </c>
      <c r="B70" s="1" t="s">
        <v>24</v>
      </c>
      <c r="C70" s="1" t="s">
        <v>25</v>
      </c>
      <c r="D70" s="1" t="s">
        <v>14</v>
      </c>
      <c r="E70" s="1" t="s">
        <v>15</v>
      </c>
      <c r="F70" s="1" t="s">
        <v>26</v>
      </c>
      <c r="G70">
        <v>3.57</v>
      </c>
      <c r="H70">
        <v>5.9</v>
      </c>
      <c r="I70">
        <v>0.28000000000000003</v>
      </c>
      <c r="J70">
        <v>10.7</v>
      </c>
      <c r="K70">
        <v>85.3</v>
      </c>
      <c r="L70">
        <v>17</v>
      </c>
    </row>
    <row r="71" spans="1:12" x14ac:dyDescent="0.25">
      <c r="A71">
        <v>2011</v>
      </c>
      <c r="B71" s="1" t="s">
        <v>24</v>
      </c>
      <c r="C71" s="1" t="s">
        <v>25</v>
      </c>
      <c r="D71" s="1" t="s">
        <v>14</v>
      </c>
      <c r="E71" s="1" t="s">
        <v>15</v>
      </c>
      <c r="F71" s="1" t="s">
        <v>26</v>
      </c>
      <c r="G71">
        <v>4.01</v>
      </c>
      <c r="H71">
        <v>5.9</v>
      </c>
      <c r="I71">
        <v>0.23</v>
      </c>
      <c r="J71">
        <v>12</v>
      </c>
      <c r="K71">
        <v>86.3</v>
      </c>
      <c r="L71">
        <v>20</v>
      </c>
    </row>
    <row r="72" spans="1:12" x14ac:dyDescent="0.25">
      <c r="A72">
        <v>2012</v>
      </c>
      <c r="B72" s="1" t="s">
        <v>24</v>
      </c>
      <c r="C72" s="1" t="s">
        <v>25</v>
      </c>
      <c r="D72" s="1" t="s">
        <v>14</v>
      </c>
      <c r="E72" s="1" t="s">
        <v>15</v>
      </c>
      <c r="F72" s="1" t="s">
        <v>26</v>
      </c>
      <c r="G72">
        <v>4.6500000000000004</v>
      </c>
      <c r="H72">
        <v>5.9</v>
      </c>
      <c r="I72">
        <v>0.22</v>
      </c>
      <c r="J72">
        <v>13.9</v>
      </c>
      <c r="K72">
        <v>87.1</v>
      </c>
      <c r="L72">
        <v>23</v>
      </c>
    </row>
    <row r="73" spans="1:12" x14ac:dyDescent="0.25">
      <c r="A73">
        <v>2013</v>
      </c>
      <c r="B73" s="1" t="s">
        <v>24</v>
      </c>
      <c r="C73" s="1" t="s">
        <v>25</v>
      </c>
      <c r="D73" s="1" t="s">
        <v>14</v>
      </c>
      <c r="E73" s="1" t="s">
        <v>15</v>
      </c>
      <c r="F73" s="1" t="s">
        <v>26</v>
      </c>
      <c r="G73">
        <v>4.8099999999999996</v>
      </c>
      <c r="H73">
        <v>5.9</v>
      </c>
      <c r="I73">
        <v>0.35</v>
      </c>
      <c r="J73">
        <v>14.4</v>
      </c>
      <c r="K73">
        <v>89</v>
      </c>
      <c r="L73">
        <v>24</v>
      </c>
    </row>
    <row r="74" spans="1:12" x14ac:dyDescent="0.25">
      <c r="A74">
        <v>2014</v>
      </c>
      <c r="B74" s="1" t="s">
        <v>24</v>
      </c>
      <c r="C74" s="1" t="s">
        <v>25</v>
      </c>
      <c r="D74" s="1" t="s">
        <v>14</v>
      </c>
      <c r="E74" s="1" t="s">
        <v>15</v>
      </c>
      <c r="F74" s="1" t="s">
        <v>26</v>
      </c>
      <c r="G74">
        <v>5.33</v>
      </c>
      <c r="H74">
        <v>5.9</v>
      </c>
      <c r="I74">
        <v>0.6</v>
      </c>
      <c r="J74">
        <v>16</v>
      </c>
      <c r="K74">
        <v>86.7</v>
      </c>
      <c r="L74">
        <v>26</v>
      </c>
    </row>
    <row r="75" spans="1:12" x14ac:dyDescent="0.25">
      <c r="A75">
        <v>2015</v>
      </c>
      <c r="B75" s="1" t="s">
        <v>24</v>
      </c>
      <c r="C75" s="1" t="s">
        <v>25</v>
      </c>
      <c r="D75" s="1" t="s">
        <v>14</v>
      </c>
      <c r="E75" s="1" t="s">
        <v>15</v>
      </c>
      <c r="F75" s="1" t="s">
        <v>26</v>
      </c>
      <c r="G75">
        <v>5.48</v>
      </c>
      <c r="H75">
        <v>5.9</v>
      </c>
      <c r="I75">
        <v>0.41</v>
      </c>
      <c r="J75">
        <v>16.5</v>
      </c>
      <c r="K75">
        <v>87.5</v>
      </c>
      <c r="L75">
        <v>27</v>
      </c>
    </row>
    <row r="76" spans="1:12" x14ac:dyDescent="0.25">
      <c r="A76">
        <v>2016</v>
      </c>
      <c r="B76" s="1" t="s">
        <v>24</v>
      </c>
      <c r="C76" s="1" t="s">
        <v>25</v>
      </c>
      <c r="D76" s="1" t="s">
        <v>14</v>
      </c>
      <c r="E76" s="1" t="s">
        <v>15</v>
      </c>
      <c r="F76" s="1" t="s">
        <v>26</v>
      </c>
      <c r="G76">
        <v>6.53</v>
      </c>
      <c r="H76">
        <v>5.9</v>
      </c>
      <c r="I76">
        <v>0.35</v>
      </c>
      <c r="J76">
        <v>19.600000000000001</v>
      </c>
      <c r="K76">
        <v>87.2</v>
      </c>
      <c r="L76">
        <v>32</v>
      </c>
    </row>
    <row r="77" spans="1:12" x14ac:dyDescent="0.25">
      <c r="A77">
        <v>2017</v>
      </c>
      <c r="B77" s="1" t="s">
        <v>24</v>
      </c>
      <c r="C77" s="1" t="s">
        <v>25</v>
      </c>
      <c r="D77" s="1" t="s">
        <v>14</v>
      </c>
      <c r="E77" s="1" t="s">
        <v>15</v>
      </c>
      <c r="F77" s="1" t="s">
        <v>26</v>
      </c>
      <c r="G77">
        <v>7.45</v>
      </c>
      <c r="H77">
        <v>5.9</v>
      </c>
      <c r="I77">
        <v>1.06</v>
      </c>
      <c r="J77">
        <v>22.4</v>
      </c>
      <c r="K77">
        <v>90.8</v>
      </c>
      <c r="L77">
        <v>37</v>
      </c>
    </row>
    <row r="78" spans="1:12" x14ac:dyDescent="0.25">
      <c r="A78">
        <v>2018</v>
      </c>
      <c r="B78" s="1" t="s">
        <v>24</v>
      </c>
      <c r="C78" s="1" t="s">
        <v>25</v>
      </c>
      <c r="D78" s="1" t="s">
        <v>14</v>
      </c>
      <c r="E78" s="1" t="s">
        <v>15</v>
      </c>
      <c r="F78" s="1" t="s">
        <v>26</v>
      </c>
      <c r="G78">
        <v>8.09</v>
      </c>
      <c r="H78">
        <v>5.9</v>
      </c>
      <c r="I78">
        <v>0.59</v>
      </c>
      <c r="J78">
        <v>24.3</v>
      </c>
      <c r="K78">
        <v>84.1</v>
      </c>
      <c r="L78">
        <v>40</v>
      </c>
    </row>
    <row r="79" spans="1:12" x14ac:dyDescent="0.25">
      <c r="A79">
        <v>2019</v>
      </c>
      <c r="B79" s="1" t="s">
        <v>24</v>
      </c>
      <c r="C79" s="1" t="s">
        <v>25</v>
      </c>
      <c r="D79" s="1" t="s">
        <v>14</v>
      </c>
      <c r="E79" s="1" t="s">
        <v>15</v>
      </c>
      <c r="F79" s="1" t="s">
        <v>26</v>
      </c>
      <c r="G79">
        <v>8.65</v>
      </c>
      <c r="H79">
        <v>5.9</v>
      </c>
      <c r="I79">
        <v>0.76</v>
      </c>
      <c r="J79">
        <v>25.9</v>
      </c>
      <c r="K79">
        <v>89.4</v>
      </c>
      <c r="L79">
        <v>43</v>
      </c>
    </row>
    <row r="80" spans="1:12" x14ac:dyDescent="0.25">
      <c r="A80">
        <v>2020</v>
      </c>
      <c r="B80" s="1" t="s">
        <v>24</v>
      </c>
      <c r="C80" s="1" t="s">
        <v>25</v>
      </c>
      <c r="D80" s="1" t="s">
        <v>14</v>
      </c>
      <c r="E80" s="1" t="s">
        <v>15</v>
      </c>
      <c r="F80" s="1" t="s">
        <v>26</v>
      </c>
      <c r="G80">
        <v>3.52</v>
      </c>
      <c r="H80">
        <v>5.9</v>
      </c>
      <c r="I80">
        <v>-1.29</v>
      </c>
      <c r="J80">
        <v>10.6</v>
      </c>
      <c r="K80">
        <v>50.7</v>
      </c>
      <c r="L80">
        <v>17</v>
      </c>
    </row>
    <row r="81" spans="1:12" x14ac:dyDescent="0.25">
      <c r="A81">
        <v>2021</v>
      </c>
      <c r="B81" s="1" t="s">
        <v>24</v>
      </c>
      <c r="C81" s="1" t="s">
        <v>25</v>
      </c>
      <c r="D81" s="1" t="s">
        <v>14</v>
      </c>
      <c r="E81" s="1" t="s">
        <v>15</v>
      </c>
      <c r="F81" s="1" t="s">
        <v>26</v>
      </c>
      <c r="G81">
        <v>6.17</v>
      </c>
      <c r="H81">
        <v>5.9</v>
      </c>
      <c r="I81">
        <v>-1.27</v>
      </c>
      <c r="J81">
        <v>18.5</v>
      </c>
      <c r="K81">
        <v>68.900000000000006</v>
      </c>
      <c r="L81">
        <v>30</v>
      </c>
    </row>
    <row r="82" spans="1:12" x14ac:dyDescent="0.25">
      <c r="A82">
        <v>2022</v>
      </c>
      <c r="B82" s="1" t="s">
        <v>24</v>
      </c>
      <c r="C82" s="1" t="s">
        <v>25</v>
      </c>
      <c r="D82" s="1" t="s">
        <v>14</v>
      </c>
      <c r="E82" s="1" t="s">
        <v>15</v>
      </c>
      <c r="F82" s="1" t="s">
        <v>26</v>
      </c>
      <c r="G82">
        <v>9.35</v>
      </c>
      <c r="H82">
        <v>5.9</v>
      </c>
      <c r="I82">
        <v>0.16</v>
      </c>
      <c r="J82">
        <v>28.1</v>
      </c>
      <c r="K82">
        <v>83.5</v>
      </c>
      <c r="L82">
        <v>46</v>
      </c>
    </row>
    <row r="83" spans="1:12" x14ac:dyDescent="0.25">
      <c r="A83">
        <v>2023</v>
      </c>
      <c r="B83" s="1" t="s">
        <v>24</v>
      </c>
      <c r="C83" s="1" t="s">
        <v>25</v>
      </c>
      <c r="D83" s="1" t="s">
        <v>14</v>
      </c>
      <c r="E83" s="1" t="s">
        <v>15</v>
      </c>
      <c r="F83" s="1" t="s">
        <v>26</v>
      </c>
      <c r="G83">
        <v>9.9499999999999993</v>
      </c>
      <c r="H83">
        <v>5.9</v>
      </c>
      <c r="I83">
        <v>1.33</v>
      </c>
      <c r="J83">
        <v>29.9</v>
      </c>
      <c r="K83">
        <v>84.4</v>
      </c>
      <c r="L83">
        <v>49</v>
      </c>
    </row>
    <row r="84" spans="1:12" x14ac:dyDescent="0.25">
      <c r="A84">
        <v>2024</v>
      </c>
      <c r="B84" s="1" t="s">
        <v>24</v>
      </c>
      <c r="C84" s="1" t="s">
        <v>25</v>
      </c>
      <c r="D84" s="1" t="s">
        <v>14</v>
      </c>
      <c r="E84" s="1" t="s">
        <v>15</v>
      </c>
      <c r="F84" s="1" t="s">
        <v>26</v>
      </c>
      <c r="G84">
        <v>10.84</v>
      </c>
      <c r="H84">
        <v>5.9</v>
      </c>
      <c r="I84">
        <v>1.36</v>
      </c>
      <c r="J84">
        <v>32.5</v>
      </c>
      <c r="K84">
        <v>92.8</v>
      </c>
      <c r="L84">
        <v>54</v>
      </c>
    </row>
    <row r="85" spans="1:12" x14ac:dyDescent="0.25">
      <c r="A85">
        <v>2025</v>
      </c>
      <c r="B85" s="1" t="s">
        <v>24</v>
      </c>
      <c r="C85" s="1" t="s">
        <v>25</v>
      </c>
      <c r="D85" s="1" t="s">
        <v>14</v>
      </c>
      <c r="E85" s="1" t="s">
        <v>15</v>
      </c>
      <c r="F85" s="1" t="s">
        <v>26</v>
      </c>
      <c r="G85">
        <v>11.44</v>
      </c>
      <c r="H85">
        <v>5.9</v>
      </c>
      <c r="I85">
        <v>0.81</v>
      </c>
      <c r="J85">
        <v>34.299999999999997</v>
      </c>
      <c r="K85">
        <v>87.7</v>
      </c>
      <c r="L85">
        <v>57</v>
      </c>
    </row>
    <row r="86" spans="1:12" x14ac:dyDescent="0.25">
      <c r="A86">
        <v>2026</v>
      </c>
      <c r="B86" s="1" t="s">
        <v>24</v>
      </c>
      <c r="C86" s="1" t="s">
        <v>25</v>
      </c>
      <c r="D86" s="1" t="s">
        <v>14</v>
      </c>
      <c r="E86" s="1" t="s">
        <v>15</v>
      </c>
      <c r="F86" s="1" t="s">
        <v>26</v>
      </c>
      <c r="G86">
        <v>13.17</v>
      </c>
      <c r="H86">
        <v>5.9</v>
      </c>
      <c r="I86">
        <v>0.73</v>
      </c>
      <c r="J86">
        <v>39.5</v>
      </c>
      <c r="K86">
        <v>86.5</v>
      </c>
      <c r="L86">
        <v>65</v>
      </c>
    </row>
    <row r="87" spans="1:12" x14ac:dyDescent="0.25">
      <c r="A87">
        <v>2010</v>
      </c>
      <c r="B87" s="1" t="s">
        <v>27</v>
      </c>
      <c r="C87" s="1" t="s">
        <v>28</v>
      </c>
      <c r="D87" s="1" t="s">
        <v>14</v>
      </c>
      <c r="E87" s="1" t="s">
        <v>15</v>
      </c>
      <c r="F87" s="1" t="s">
        <v>23</v>
      </c>
      <c r="G87">
        <v>3.89</v>
      </c>
      <c r="H87">
        <v>5.9</v>
      </c>
      <c r="I87">
        <v>0.51</v>
      </c>
      <c r="J87">
        <v>15.6</v>
      </c>
      <c r="K87">
        <v>86.2</v>
      </c>
      <c r="L87">
        <v>19</v>
      </c>
    </row>
    <row r="88" spans="1:12" x14ac:dyDescent="0.25">
      <c r="A88">
        <v>2011</v>
      </c>
      <c r="B88" s="1" t="s">
        <v>27</v>
      </c>
      <c r="C88" s="1" t="s">
        <v>28</v>
      </c>
      <c r="D88" s="1" t="s">
        <v>14</v>
      </c>
      <c r="E88" s="1" t="s">
        <v>15</v>
      </c>
      <c r="F88" s="1" t="s">
        <v>23</v>
      </c>
      <c r="G88">
        <v>4.3</v>
      </c>
      <c r="H88">
        <v>5.9</v>
      </c>
      <c r="I88">
        <v>0.37</v>
      </c>
      <c r="J88">
        <v>17.2</v>
      </c>
      <c r="K88">
        <v>86.5</v>
      </c>
      <c r="L88">
        <v>21</v>
      </c>
    </row>
    <row r="89" spans="1:12" x14ac:dyDescent="0.25">
      <c r="A89">
        <v>2012</v>
      </c>
      <c r="B89" s="1" t="s">
        <v>27</v>
      </c>
      <c r="C89" s="1" t="s">
        <v>28</v>
      </c>
      <c r="D89" s="1" t="s">
        <v>14</v>
      </c>
      <c r="E89" s="1" t="s">
        <v>15</v>
      </c>
      <c r="F89" s="1" t="s">
        <v>23</v>
      </c>
      <c r="G89">
        <v>4.8</v>
      </c>
      <c r="H89">
        <v>5.9</v>
      </c>
      <c r="I89">
        <v>0.6</v>
      </c>
      <c r="J89">
        <v>19.2</v>
      </c>
      <c r="K89">
        <v>85.9</v>
      </c>
      <c r="L89">
        <v>24</v>
      </c>
    </row>
    <row r="90" spans="1:12" x14ac:dyDescent="0.25">
      <c r="A90">
        <v>2013</v>
      </c>
      <c r="B90" s="1" t="s">
        <v>27</v>
      </c>
      <c r="C90" s="1" t="s">
        <v>28</v>
      </c>
      <c r="D90" s="1" t="s">
        <v>14</v>
      </c>
      <c r="E90" s="1" t="s">
        <v>15</v>
      </c>
      <c r="F90" s="1" t="s">
        <v>23</v>
      </c>
      <c r="G90">
        <v>5.44</v>
      </c>
      <c r="H90">
        <v>5.9</v>
      </c>
      <c r="I90">
        <v>0.79</v>
      </c>
      <c r="J90">
        <v>21.7</v>
      </c>
      <c r="K90">
        <v>87.3</v>
      </c>
      <c r="L90">
        <v>27</v>
      </c>
    </row>
    <row r="91" spans="1:12" x14ac:dyDescent="0.25">
      <c r="A91">
        <v>2014</v>
      </c>
      <c r="B91" s="1" t="s">
        <v>27</v>
      </c>
      <c r="C91" s="1" t="s">
        <v>28</v>
      </c>
      <c r="D91" s="1" t="s">
        <v>14</v>
      </c>
      <c r="E91" s="1" t="s">
        <v>15</v>
      </c>
      <c r="F91" s="1" t="s">
        <v>23</v>
      </c>
      <c r="G91">
        <v>5.94</v>
      </c>
      <c r="H91">
        <v>5.9</v>
      </c>
      <c r="I91">
        <v>0.72</v>
      </c>
      <c r="J91">
        <v>23.8</v>
      </c>
      <c r="K91">
        <v>87</v>
      </c>
      <c r="L91">
        <v>29</v>
      </c>
    </row>
    <row r="92" spans="1:12" x14ac:dyDescent="0.25">
      <c r="A92">
        <v>2015</v>
      </c>
      <c r="B92" s="1" t="s">
        <v>27</v>
      </c>
      <c r="C92" s="1" t="s">
        <v>28</v>
      </c>
      <c r="D92" s="1" t="s">
        <v>14</v>
      </c>
      <c r="E92" s="1" t="s">
        <v>15</v>
      </c>
      <c r="F92" s="1" t="s">
        <v>23</v>
      </c>
      <c r="G92">
        <v>6.26</v>
      </c>
      <c r="H92">
        <v>5.9</v>
      </c>
      <c r="I92">
        <v>0.8</v>
      </c>
      <c r="J92">
        <v>25.1</v>
      </c>
      <c r="K92">
        <v>86.8</v>
      </c>
      <c r="L92">
        <v>31</v>
      </c>
    </row>
    <row r="93" spans="1:12" x14ac:dyDescent="0.25">
      <c r="A93">
        <v>2016</v>
      </c>
      <c r="B93" s="1" t="s">
        <v>27</v>
      </c>
      <c r="C93" s="1" t="s">
        <v>28</v>
      </c>
      <c r="D93" s="1" t="s">
        <v>14</v>
      </c>
      <c r="E93" s="1" t="s">
        <v>15</v>
      </c>
      <c r="F93" s="1" t="s">
        <v>23</v>
      </c>
      <c r="G93">
        <v>7.28</v>
      </c>
      <c r="H93">
        <v>5.9</v>
      </c>
      <c r="I93">
        <v>1.1599999999999999</v>
      </c>
      <c r="J93">
        <v>29.1</v>
      </c>
      <c r="K93">
        <v>87.8</v>
      </c>
      <c r="L93">
        <v>36</v>
      </c>
    </row>
    <row r="94" spans="1:12" x14ac:dyDescent="0.25">
      <c r="A94">
        <v>2017</v>
      </c>
      <c r="B94" s="1" t="s">
        <v>27</v>
      </c>
      <c r="C94" s="1" t="s">
        <v>28</v>
      </c>
      <c r="D94" s="1" t="s">
        <v>14</v>
      </c>
      <c r="E94" s="1" t="s">
        <v>15</v>
      </c>
      <c r="F94" s="1" t="s">
        <v>23</v>
      </c>
      <c r="G94">
        <v>7.1</v>
      </c>
      <c r="H94">
        <v>5.9</v>
      </c>
      <c r="I94">
        <v>0.65</v>
      </c>
      <c r="J94">
        <v>28.4</v>
      </c>
      <c r="K94">
        <v>89.4</v>
      </c>
      <c r="L94">
        <v>35</v>
      </c>
    </row>
    <row r="95" spans="1:12" x14ac:dyDescent="0.25">
      <c r="A95">
        <v>2018</v>
      </c>
      <c r="B95" s="1" t="s">
        <v>27</v>
      </c>
      <c r="C95" s="1" t="s">
        <v>28</v>
      </c>
      <c r="D95" s="1" t="s">
        <v>14</v>
      </c>
      <c r="E95" s="1" t="s">
        <v>15</v>
      </c>
      <c r="F95" s="1" t="s">
        <v>23</v>
      </c>
      <c r="G95">
        <v>7.76</v>
      </c>
      <c r="H95">
        <v>5.9</v>
      </c>
      <c r="I95">
        <v>1.02</v>
      </c>
      <c r="J95">
        <v>31</v>
      </c>
      <c r="K95">
        <v>83.5</v>
      </c>
      <c r="L95">
        <v>38</v>
      </c>
    </row>
    <row r="96" spans="1:12" x14ac:dyDescent="0.25">
      <c r="A96">
        <v>2019</v>
      </c>
      <c r="B96" s="1" t="s">
        <v>27</v>
      </c>
      <c r="C96" s="1" t="s">
        <v>28</v>
      </c>
      <c r="D96" s="1" t="s">
        <v>14</v>
      </c>
      <c r="E96" s="1" t="s">
        <v>15</v>
      </c>
      <c r="F96" s="1" t="s">
        <v>23</v>
      </c>
      <c r="G96">
        <v>8.33</v>
      </c>
      <c r="H96">
        <v>5.9</v>
      </c>
      <c r="I96">
        <v>1.0900000000000001</v>
      </c>
      <c r="J96">
        <v>33.299999999999997</v>
      </c>
      <c r="K96">
        <v>84.8</v>
      </c>
      <c r="L96">
        <v>41</v>
      </c>
    </row>
    <row r="97" spans="1:12" x14ac:dyDescent="0.25">
      <c r="A97">
        <v>2020</v>
      </c>
      <c r="B97" s="1" t="s">
        <v>27</v>
      </c>
      <c r="C97" s="1" t="s">
        <v>28</v>
      </c>
      <c r="D97" s="1" t="s">
        <v>14</v>
      </c>
      <c r="E97" s="1" t="s">
        <v>15</v>
      </c>
      <c r="F97" s="1" t="s">
        <v>23</v>
      </c>
      <c r="G97">
        <v>2.86</v>
      </c>
      <c r="H97">
        <v>5.9</v>
      </c>
      <c r="I97">
        <v>-0.98</v>
      </c>
      <c r="J97">
        <v>11.4</v>
      </c>
      <c r="K97">
        <v>55.1</v>
      </c>
      <c r="L97">
        <v>14</v>
      </c>
    </row>
    <row r="98" spans="1:12" x14ac:dyDescent="0.25">
      <c r="A98">
        <v>2021</v>
      </c>
      <c r="B98" s="1" t="s">
        <v>27</v>
      </c>
      <c r="C98" s="1" t="s">
        <v>28</v>
      </c>
      <c r="D98" s="1" t="s">
        <v>14</v>
      </c>
      <c r="E98" s="1" t="s">
        <v>15</v>
      </c>
      <c r="F98" s="1" t="s">
        <v>23</v>
      </c>
      <c r="G98">
        <v>5.95</v>
      </c>
      <c r="H98">
        <v>5.9</v>
      </c>
      <c r="I98">
        <v>-1.0900000000000001</v>
      </c>
      <c r="J98">
        <v>23.8</v>
      </c>
      <c r="K98">
        <v>69.5</v>
      </c>
      <c r="L98">
        <v>29</v>
      </c>
    </row>
    <row r="99" spans="1:12" x14ac:dyDescent="0.25">
      <c r="A99">
        <v>2022</v>
      </c>
      <c r="B99" s="1" t="s">
        <v>27</v>
      </c>
      <c r="C99" s="1" t="s">
        <v>28</v>
      </c>
      <c r="D99" s="1" t="s">
        <v>14</v>
      </c>
      <c r="E99" s="1" t="s">
        <v>15</v>
      </c>
      <c r="F99" s="1" t="s">
        <v>23</v>
      </c>
      <c r="G99">
        <v>9.24</v>
      </c>
      <c r="H99">
        <v>5.9</v>
      </c>
      <c r="I99">
        <v>0.52</v>
      </c>
      <c r="J99">
        <v>37</v>
      </c>
      <c r="K99">
        <v>81.900000000000006</v>
      </c>
      <c r="L99">
        <v>46</v>
      </c>
    </row>
    <row r="100" spans="1:12" x14ac:dyDescent="0.25">
      <c r="A100">
        <v>2023</v>
      </c>
      <c r="B100" s="1" t="s">
        <v>27</v>
      </c>
      <c r="C100" s="1" t="s">
        <v>28</v>
      </c>
      <c r="D100" s="1" t="s">
        <v>14</v>
      </c>
      <c r="E100" s="1" t="s">
        <v>15</v>
      </c>
      <c r="F100" s="1" t="s">
        <v>23</v>
      </c>
      <c r="G100">
        <v>9.5299999999999994</v>
      </c>
      <c r="H100">
        <v>5.9</v>
      </c>
      <c r="I100">
        <v>1.19</v>
      </c>
      <c r="J100">
        <v>38.1</v>
      </c>
      <c r="K100">
        <v>87.6</v>
      </c>
      <c r="L100">
        <v>47</v>
      </c>
    </row>
    <row r="101" spans="1:12" x14ac:dyDescent="0.25">
      <c r="A101">
        <v>2024</v>
      </c>
      <c r="B101" s="1" t="s">
        <v>27</v>
      </c>
      <c r="C101" s="1" t="s">
        <v>28</v>
      </c>
      <c r="D101" s="1" t="s">
        <v>14</v>
      </c>
      <c r="E101" s="1" t="s">
        <v>15</v>
      </c>
      <c r="F101" s="1" t="s">
        <v>23</v>
      </c>
      <c r="G101">
        <v>9.1999999999999993</v>
      </c>
      <c r="H101">
        <v>5.9</v>
      </c>
      <c r="I101">
        <v>0.7</v>
      </c>
      <c r="J101">
        <v>36.799999999999997</v>
      </c>
      <c r="K101">
        <v>87.7</v>
      </c>
      <c r="L101">
        <v>45</v>
      </c>
    </row>
    <row r="102" spans="1:12" x14ac:dyDescent="0.25">
      <c r="A102">
        <v>2025</v>
      </c>
      <c r="B102" s="1" t="s">
        <v>27</v>
      </c>
      <c r="C102" s="1" t="s">
        <v>28</v>
      </c>
      <c r="D102" s="1" t="s">
        <v>14</v>
      </c>
      <c r="E102" s="1" t="s">
        <v>15</v>
      </c>
      <c r="F102" s="1" t="s">
        <v>23</v>
      </c>
      <c r="G102">
        <v>10.16</v>
      </c>
      <c r="H102">
        <v>5.9</v>
      </c>
      <c r="I102">
        <v>0.83</v>
      </c>
      <c r="J102">
        <v>40.700000000000003</v>
      </c>
      <c r="K102">
        <v>88.7</v>
      </c>
      <c r="L102">
        <v>50</v>
      </c>
    </row>
    <row r="103" spans="1:12" x14ac:dyDescent="0.25">
      <c r="A103">
        <v>2026</v>
      </c>
      <c r="B103" s="1" t="s">
        <v>27</v>
      </c>
      <c r="C103" s="1" t="s">
        <v>28</v>
      </c>
      <c r="D103" s="1" t="s">
        <v>14</v>
      </c>
      <c r="E103" s="1" t="s">
        <v>15</v>
      </c>
      <c r="F103" s="1" t="s">
        <v>23</v>
      </c>
      <c r="G103">
        <v>9.9</v>
      </c>
      <c r="H103">
        <v>5.9</v>
      </c>
      <c r="I103">
        <v>1.17</v>
      </c>
      <c r="J103">
        <v>39.6</v>
      </c>
      <c r="K103">
        <v>84.9</v>
      </c>
      <c r="L103">
        <v>49</v>
      </c>
    </row>
    <row r="104" spans="1:12" x14ac:dyDescent="0.25">
      <c r="A104">
        <v>2010</v>
      </c>
      <c r="B104" s="1" t="s">
        <v>29</v>
      </c>
      <c r="C104" s="1" t="s">
        <v>30</v>
      </c>
      <c r="D104" s="1" t="s">
        <v>31</v>
      </c>
      <c r="E104" s="1" t="s">
        <v>32</v>
      </c>
      <c r="F104" s="1" t="s">
        <v>16</v>
      </c>
      <c r="G104">
        <v>34.65</v>
      </c>
      <c r="H104">
        <v>5.9</v>
      </c>
      <c r="I104">
        <v>3.21</v>
      </c>
      <c r="J104">
        <v>52</v>
      </c>
      <c r="K104">
        <v>84.2</v>
      </c>
      <c r="L104">
        <v>173</v>
      </c>
    </row>
    <row r="105" spans="1:12" x14ac:dyDescent="0.25">
      <c r="A105">
        <v>2011</v>
      </c>
      <c r="B105" s="1" t="s">
        <v>29</v>
      </c>
      <c r="C105" s="1" t="s">
        <v>30</v>
      </c>
      <c r="D105" s="1" t="s">
        <v>31</v>
      </c>
      <c r="E105" s="1" t="s">
        <v>32</v>
      </c>
      <c r="F105" s="1" t="s">
        <v>16</v>
      </c>
      <c r="G105">
        <v>36.950000000000003</v>
      </c>
      <c r="H105">
        <v>5.9</v>
      </c>
      <c r="I105">
        <v>3.3</v>
      </c>
      <c r="J105">
        <v>55.4</v>
      </c>
      <c r="K105">
        <v>83.9</v>
      </c>
      <c r="L105">
        <v>184</v>
      </c>
    </row>
    <row r="106" spans="1:12" x14ac:dyDescent="0.25">
      <c r="A106">
        <v>2012</v>
      </c>
      <c r="B106" s="1" t="s">
        <v>29</v>
      </c>
      <c r="C106" s="1" t="s">
        <v>30</v>
      </c>
      <c r="D106" s="1" t="s">
        <v>31</v>
      </c>
      <c r="E106" s="1" t="s">
        <v>32</v>
      </c>
      <c r="F106" s="1" t="s">
        <v>16</v>
      </c>
      <c r="G106">
        <v>37.049999999999997</v>
      </c>
      <c r="H106">
        <v>5.9</v>
      </c>
      <c r="I106">
        <v>2.63</v>
      </c>
      <c r="J106">
        <v>55.6</v>
      </c>
      <c r="K106">
        <v>84.7</v>
      </c>
      <c r="L106">
        <v>185</v>
      </c>
    </row>
    <row r="107" spans="1:12" x14ac:dyDescent="0.25">
      <c r="A107">
        <v>2013</v>
      </c>
      <c r="B107" s="1" t="s">
        <v>29</v>
      </c>
      <c r="C107" s="1" t="s">
        <v>30</v>
      </c>
      <c r="D107" s="1" t="s">
        <v>31</v>
      </c>
      <c r="E107" s="1" t="s">
        <v>32</v>
      </c>
      <c r="F107" s="1" t="s">
        <v>16</v>
      </c>
      <c r="G107">
        <v>34.93</v>
      </c>
      <c r="H107">
        <v>5.9</v>
      </c>
      <c r="I107">
        <v>2.15</v>
      </c>
      <c r="J107">
        <v>52.4</v>
      </c>
      <c r="K107">
        <v>81.599999999999994</v>
      </c>
      <c r="L107">
        <v>174</v>
      </c>
    </row>
    <row r="108" spans="1:12" x14ac:dyDescent="0.25">
      <c r="A108">
        <v>2014</v>
      </c>
      <c r="B108" s="1" t="s">
        <v>29</v>
      </c>
      <c r="C108" s="1" t="s">
        <v>30</v>
      </c>
      <c r="D108" s="1" t="s">
        <v>31</v>
      </c>
      <c r="E108" s="1" t="s">
        <v>32</v>
      </c>
      <c r="F108" s="1" t="s">
        <v>16</v>
      </c>
      <c r="G108">
        <v>36.380000000000003</v>
      </c>
      <c r="H108">
        <v>5.9</v>
      </c>
      <c r="I108">
        <v>1.1100000000000001</v>
      </c>
      <c r="J108">
        <v>54.6</v>
      </c>
      <c r="K108">
        <v>84.6</v>
      </c>
      <c r="L108">
        <v>181</v>
      </c>
    </row>
    <row r="109" spans="1:12" x14ac:dyDescent="0.25">
      <c r="A109">
        <v>2015</v>
      </c>
      <c r="B109" s="1" t="s">
        <v>29</v>
      </c>
      <c r="C109" s="1" t="s">
        <v>30</v>
      </c>
      <c r="D109" s="1" t="s">
        <v>31</v>
      </c>
      <c r="E109" s="1" t="s">
        <v>32</v>
      </c>
      <c r="F109" s="1" t="s">
        <v>16</v>
      </c>
      <c r="G109">
        <v>35.200000000000003</v>
      </c>
      <c r="H109">
        <v>5.9</v>
      </c>
      <c r="I109">
        <v>3.14</v>
      </c>
      <c r="J109">
        <v>52.8</v>
      </c>
      <c r="K109">
        <v>84.5</v>
      </c>
      <c r="L109">
        <v>175</v>
      </c>
    </row>
    <row r="110" spans="1:12" x14ac:dyDescent="0.25">
      <c r="A110">
        <v>2016</v>
      </c>
      <c r="B110" s="1" t="s">
        <v>29</v>
      </c>
      <c r="C110" s="1" t="s">
        <v>30</v>
      </c>
      <c r="D110" s="1" t="s">
        <v>31</v>
      </c>
      <c r="E110" s="1" t="s">
        <v>32</v>
      </c>
      <c r="F110" s="1" t="s">
        <v>16</v>
      </c>
      <c r="G110">
        <v>39.61</v>
      </c>
      <c r="H110">
        <v>5.9</v>
      </c>
      <c r="I110">
        <v>3.1</v>
      </c>
      <c r="J110">
        <v>59.4</v>
      </c>
      <c r="K110">
        <v>79.900000000000006</v>
      </c>
      <c r="L110">
        <v>198</v>
      </c>
    </row>
    <row r="111" spans="1:12" x14ac:dyDescent="0.25">
      <c r="A111">
        <v>2017</v>
      </c>
      <c r="B111" s="1" t="s">
        <v>29</v>
      </c>
      <c r="C111" s="1" t="s">
        <v>30</v>
      </c>
      <c r="D111" s="1" t="s">
        <v>31</v>
      </c>
      <c r="E111" s="1" t="s">
        <v>32</v>
      </c>
      <c r="F111" s="1" t="s">
        <v>16</v>
      </c>
      <c r="G111">
        <v>39.520000000000003</v>
      </c>
      <c r="H111">
        <v>5.9</v>
      </c>
      <c r="I111">
        <v>1.21</v>
      </c>
      <c r="J111">
        <v>59.3</v>
      </c>
      <c r="K111">
        <v>82</v>
      </c>
      <c r="L111">
        <v>197</v>
      </c>
    </row>
    <row r="112" spans="1:12" x14ac:dyDescent="0.25">
      <c r="A112">
        <v>2018</v>
      </c>
      <c r="B112" s="1" t="s">
        <v>29</v>
      </c>
      <c r="C112" s="1" t="s">
        <v>30</v>
      </c>
      <c r="D112" s="1" t="s">
        <v>31</v>
      </c>
      <c r="E112" s="1" t="s">
        <v>32</v>
      </c>
      <c r="F112" s="1" t="s">
        <v>16</v>
      </c>
      <c r="G112">
        <v>43.63</v>
      </c>
      <c r="H112">
        <v>5.9</v>
      </c>
      <c r="I112">
        <v>3.31</v>
      </c>
      <c r="J112">
        <v>65.5</v>
      </c>
      <c r="K112">
        <v>81.599999999999994</v>
      </c>
      <c r="L112">
        <v>218</v>
      </c>
    </row>
    <row r="113" spans="1:12" x14ac:dyDescent="0.25">
      <c r="A113">
        <v>2019</v>
      </c>
      <c r="B113" s="1" t="s">
        <v>29</v>
      </c>
      <c r="C113" s="1" t="s">
        <v>30</v>
      </c>
      <c r="D113" s="1" t="s">
        <v>31</v>
      </c>
      <c r="E113" s="1" t="s">
        <v>32</v>
      </c>
      <c r="F113" s="1" t="s">
        <v>16</v>
      </c>
      <c r="G113">
        <v>38.9</v>
      </c>
      <c r="H113">
        <v>5.9</v>
      </c>
      <c r="I113">
        <v>2.37</v>
      </c>
      <c r="J113">
        <v>58.3</v>
      </c>
      <c r="K113">
        <v>80.599999999999994</v>
      </c>
      <c r="L113">
        <v>194</v>
      </c>
    </row>
    <row r="114" spans="1:12" x14ac:dyDescent="0.25">
      <c r="A114">
        <v>2020</v>
      </c>
      <c r="B114" s="1" t="s">
        <v>29</v>
      </c>
      <c r="C114" s="1" t="s">
        <v>30</v>
      </c>
      <c r="D114" s="1" t="s">
        <v>31</v>
      </c>
      <c r="E114" s="1" t="s">
        <v>32</v>
      </c>
      <c r="F114" s="1" t="s">
        <v>16</v>
      </c>
      <c r="G114">
        <v>14.7</v>
      </c>
      <c r="H114">
        <v>5.9</v>
      </c>
      <c r="I114">
        <v>-5.03</v>
      </c>
      <c r="J114">
        <v>22.1</v>
      </c>
      <c r="K114">
        <v>57.3</v>
      </c>
      <c r="L114">
        <v>73</v>
      </c>
    </row>
    <row r="115" spans="1:12" x14ac:dyDescent="0.25">
      <c r="A115">
        <v>2021</v>
      </c>
      <c r="B115" s="1" t="s">
        <v>29</v>
      </c>
      <c r="C115" s="1" t="s">
        <v>30</v>
      </c>
      <c r="D115" s="1" t="s">
        <v>31</v>
      </c>
      <c r="E115" s="1" t="s">
        <v>32</v>
      </c>
      <c r="F115" s="1" t="s">
        <v>16</v>
      </c>
      <c r="G115">
        <v>19.66</v>
      </c>
      <c r="H115">
        <v>5.9</v>
      </c>
      <c r="I115">
        <v>-4.66</v>
      </c>
      <c r="J115">
        <v>29.5</v>
      </c>
      <c r="K115">
        <v>70.599999999999994</v>
      </c>
      <c r="L115">
        <v>98</v>
      </c>
    </row>
    <row r="116" spans="1:12" x14ac:dyDescent="0.25">
      <c r="A116">
        <v>2022</v>
      </c>
      <c r="B116" s="1" t="s">
        <v>29</v>
      </c>
      <c r="C116" s="1" t="s">
        <v>30</v>
      </c>
      <c r="D116" s="1" t="s">
        <v>31</v>
      </c>
      <c r="E116" s="1" t="s">
        <v>32</v>
      </c>
      <c r="F116" s="1" t="s">
        <v>16</v>
      </c>
      <c r="G116">
        <v>35.08</v>
      </c>
      <c r="H116">
        <v>5.9</v>
      </c>
      <c r="I116">
        <v>1.06</v>
      </c>
      <c r="J116">
        <v>52.6</v>
      </c>
      <c r="K116">
        <v>86.2</v>
      </c>
      <c r="L116">
        <v>175</v>
      </c>
    </row>
    <row r="117" spans="1:12" x14ac:dyDescent="0.25">
      <c r="A117">
        <v>2023</v>
      </c>
      <c r="B117" s="1" t="s">
        <v>29</v>
      </c>
      <c r="C117" s="1" t="s">
        <v>30</v>
      </c>
      <c r="D117" s="1" t="s">
        <v>31</v>
      </c>
      <c r="E117" s="1" t="s">
        <v>32</v>
      </c>
      <c r="F117" s="1" t="s">
        <v>16</v>
      </c>
      <c r="G117">
        <v>37.22</v>
      </c>
      <c r="H117">
        <v>5.9</v>
      </c>
      <c r="I117">
        <v>2.4300000000000002</v>
      </c>
      <c r="J117">
        <v>55.8</v>
      </c>
      <c r="K117">
        <v>84.2</v>
      </c>
      <c r="L117">
        <v>186</v>
      </c>
    </row>
    <row r="118" spans="1:12" x14ac:dyDescent="0.25">
      <c r="A118">
        <v>2024</v>
      </c>
      <c r="B118" s="1" t="s">
        <v>29</v>
      </c>
      <c r="C118" s="1" t="s">
        <v>30</v>
      </c>
      <c r="D118" s="1" t="s">
        <v>31</v>
      </c>
      <c r="E118" s="1" t="s">
        <v>32</v>
      </c>
      <c r="F118" s="1" t="s">
        <v>16</v>
      </c>
      <c r="G118">
        <v>38.619999999999997</v>
      </c>
      <c r="H118">
        <v>5.9</v>
      </c>
      <c r="I118">
        <v>4.5199999999999996</v>
      </c>
      <c r="J118">
        <v>57.9</v>
      </c>
      <c r="K118">
        <v>83.7</v>
      </c>
      <c r="L118">
        <v>193</v>
      </c>
    </row>
    <row r="119" spans="1:12" x14ac:dyDescent="0.25">
      <c r="A119">
        <v>2025</v>
      </c>
      <c r="B119" s="1" t="s">
        <v>29</v>
      </c>
      <c r="C119" s="1" t="s">
        <v>30</v>
      </c>
      <c r="D119" s="1" t="s">
        <v>31</v>
      </c>
      <c r="E119" s="1" t="s">
        <v>32</v>
      </c>
      <c r="F119" s="1" t="s">
        <v>16</v>
      </c>
      <c r="G119">
        <v>43.34</v>
      </c>
      <c r="H119">
        <v>5.9</v>
      </c>
      <c r="I119">
        <v>2.85</v>
      </c>
      <c r="J119">
        <v>65</v>
      </c>
      <c r="K119">
        <v>84.6</v>
      </c>
      <c r="L119">
        <v>216</v>
      </c>
    </row>
    <row r="120" spans="1:12" x14ac:dyDescent="0.25">
      <c r="A120">
        <v>2026</v>
      </c>
      <c r="B120" s="1" t="s">
        <v>29</v>
      </c>
      <c r="C120" s="1" t="s">
        <v>30</v>
      </c>
      <c r="D120" s="1" t="s">
        <v>31</v>
      </c>
      <c r="E120" s="1" t="s">
        <v>32</v>
      </c>
      <c r="F120" s="1" t="s">
        <v>16</v>
      </c>
      <c r="G120">
        <v>45.43</v>
      </c>
      <c r="H120">
        <v>5.9</v>
      </c>
      <c r="I120">
        <v>2.99</v>
      </c>
      <c r="J120">
        <v>68.099999999999994</v>
      </c>
      <c r="K120">
        <v>83.5</v>
      </c>
      <c r="L120">
        <v>227</v>
      </c>
    </row>
    <row r="121" spans="1:12" x14ac:dyDescent="0.25">
      <c r="A121">
        <v>2010</v>
      </c>
      <c r="B121" s="1" t="s">
        <v>33</v>
      </c>
      <c r="C121" s="1" t="s">
        <v>34</v>
      </c>
      <c r="D121" s="1" t="s">
        <v>35</v>
      </c>
      <c r="E121" s="1" t="s">
        <v>32</v>
      </c>
      <c r="F121" s="1" t="s">
        <v>16</v>
      </c>
      <c r="G121">
        <v>12.5</v>
      </c>
      <c r="H121">
        <v>5.9</v>
      </c>
      <c r="I121">
        <v>0.48</v>
      </c>
      <c r="J121">
        <v>18.8</v>
      </c>
      <c r="K121">
        <v>82.7</v>
      </c>
      <c r="L121">
        <v>62</v>
      </c>
    </row>
    <row r="122" spans="1:12" x14ac:dyDescent="0.25">
      <c r="A122">
        <v>2011</v>
      </c>
      <c r="B122" s="1" t="s">
        <v>33</v>
      </c>
      <c r="C122" s="1" t="s">
        <v>34</v>
      </c>
      <c r="D122" s="1" t="s">
        <v>35</v>
      </c>
      <c r="E122" s="1" t="s">
        <v>32</v>
      </c>
      <c r="F122" s="1" t="s">
        <v>16</v>
      </c>
      <c r="G122">
        <v>15.01</v>
      </c>
      <c r="H122">
        <v>5.9</v>
      </c>
      <c r="I122">
        <v>1.04</v>
      </c>
      <c r="J122">
        <v>22.5</v>
      </c>
      <c r="K122">
        <v>85</v>
      </c>
      <c r="L122">
        <v>75</v>
      </c>
    </row>
    <row r="123" spans="1:12" x14ac:dyDescent="0.25">
      <c r="A123">
        <v>2012</v>
      </c>
      <c r="B123" s="1" t="s">
        <v>33</v>
      </c>
      <c r="C123" s="1" t="s">
        <v>34</v>
      </c>
      <c r="D123" s="1" t="s">
        <v>35</v>
      </c>
      <c r="E123" s="1" t="s">
        <v>32</v>
      </c>
      <c r="F123" s="1" t="s">
        <v>16</v>
      </c>
      <c r="G123">
        <v>17.2</v>
      </c>
      <c r="H123">
        <v>5.9</v>
      </c>
      <c r="I123">
        <v>0.98</v>
      </c>
      <c r="J123">
        <v>25.8</v>
      </c>
      <c r="K123">
        <v>86</v>
      </c>
      <c r="L123">
        <v>86</v>
      </c>
    </row>
    <row r="124" spans="1:12" x14ac:dyDescent="0.25">
      <c r="A124">
        <v>2013</v>
      </c>
      <c r="B124" s="1" t="s">
        <v>33</v>
      </c>
      <c r="C124" s="1" t="s">
        <v>34</v>
      </c>
      <c r="D124" s="1" t="s">
        <v>35</v>
      </c>
      <c r="E124" s="1" t="s">
        <v>32</v>
      </c>
      <c r="F124" s="1" t="s">
        <v>16</v>
      </c>
      <c r="G124">
        <v>19.989999999999998</v>
      </c>
      <c r="H124">
        <v>5.9</v>
      </c>
      <c r="I124">
        <v>0.79</v>
      </c>
      <c r="J124">
        <v>30</v>
      </c>
      <c r="K124">
        <v>83.4</v>
      </c>
      <c r="L124">
        <v>99</v>
      </c>
    </row>
    <row r="125" spans="1:12" x14ac:dyDescent="0.25">
      <c r="A125">
        <v>2014</v>
      </c>
      <c r="B125" s="1" t="s">
        <v>33</v>
      </c>
      <c r="C125" s="1" t="s">
        <v>34</v>
      </c>
      <c r="D125" s="1" t="s">
        <v>35</v>
      </c>
      <c r="E125" s="1" t="s">
        <v>32</v>
      </c>
      <c r="F125" s="1" t="s">
        <v>16</v>
      </c>
      <c r="G125">
        <v>23.71</v>
      </c>
      <c r="H125">
        <v>5.9</v>
      </c>
      <c r="I125">
        <v>1.43</v>
      </c>
      <c r="J125">
        <v>35.6</v>
      </c>
      <c r="K125">
        <v>85.7</v>
      </c>
      <c r="L125">
        <v>118</v>
      </c>
    </row>
    <row r="126" spans="1:12" x14ac:dyDescent="0.25">
      <c r="A126">
        <v>2015</v>
      </c>
      <c r="B126" s="1" t="s">
        <v>33</v>
      </c>
      <c r="C126" s="1" t="s">
        <v>34</v>
      </c>
      <c r="D126" s="1" t="s">
        <v>35</v>
      </c>
      <c r="E126" s="1" t="s">
        <v>32</v>
      </c>
      <c r="F126" s="1" t="s">
        <v>16</v>
      </c>
      <c r="G126">
        <v>26.47</v>
      </c>
      <c r="H126">
        <v>5.9</v>
      </c>
      <c r="I126">
        <v>2.15</v>
      </c>
      <c r="J126">
        <v>39.700000000000003</v>
      </c>
      <c r="K126">
        <v>84.1</v>
      </c>
      <c r="L126">
        <v>132</v>
      </c>
    </row>
    <row r="127" spans="1:12" x14ac:dyDescent="0.25">
      <c r="A127">
        <v>2016</v>
      </c>
      <c r="B127" s="1" t="s">
        <v>33</v>
      </c>
      <c r="C127" s="1" t="s">
        <v>34</v>
      </c>
      <c r="D127" s="1" t="s">
        <v>35</v>
      </c>
      <c r="E127" s="1" t="s">
        <v>32</v>
      </c>
      <c r="F127" s="1" t="s">
        <v>16</v>
      </c>
      <c r="G127">
        <v>28.6</v>
      </c>
      <c r="H127">
        <v>5.9</v>
      </c>
      <c r="I127">
        <v>1.57</v>
      </c>
      <c r="J127">
        <v>42.9</v>
      </c>
      <c r="K127">
        <v>79</v>
      </c>
      <c r="L127">
        <v>142</v>
      </c>
    </row>
    <row r="128" spans="1:12" x14ac:dyDescent="0.25">
      <c r="A128">
        <v>2017</v>
      </c>
      <c r="B128" s="1" t="s">
        <v>33</v>
      </c>
      <c r="C128" s="1" t="s">
        <v>34</v>
      </c>
      <c r="D128" s="1" t="s">
        <v>35</v>
      </c>
      <c r="E128" s="1" t="s">
        <v>32</v>
      </c>
      <c r="F128" s="1" t="s">
        <v>16</v>
      </c>
      <c r="G128">
        <v>28.89</v>
      </c>
      <c r="H128">
        <v>5.9</v>
      </c>
      <c r="I128">
        <v>1.4</v>
      </c>
      <c r="J128">
        <v>43.3</v>
      </c>
      <c r="K128">
        <v>83.2</v>
      </c>
      <c r="L128">
        <v>144</v>
      </c>
    </row>
    <row r="129" spans="1:12" x14ac:dyDescent="0.25">
      <c r="A129">
        <v>2018</v>
      </c>
      <c r="B129" s="1" t="s">
        <v>33</v>
      </c>
      <c r="C129" s="1" t="s">
        <v>34</v>
      </c>
      <c r="D129" s="1" t="s">
        <v>35</v>
      </c>
      <c r="E129" s="1" t="s">
        <v>32</v>
      </c>
      <c r="F129" s="1" t="s">
        <v>16</v>
      </c>
      <c r="G129">
        <v>29.54</v>
      </c>
      <c r="H129">
        <v>5.9</v>
      </c>
      <c r="I129">
        <v>0.59</v>
      </c>
      <c r="J129">
        <v>44.3</v>
      </c>
      <c r="K129">
        <v>80.5</v>
      </c>
      <c r="L129">
        <v>147</v>
      </c>
    </row>
    <row r="130" spans="1:12" x14ac:dyDescent="0.25">
      <c r="A130">
        <v>2019</v>
      </c>
      <c r="B130" s="1" t="s">
        <v>33</v>
      </c>
      <c r="C130" s="1" t="s">
        <v>34</v>
      </c>
      <c r="D130" s="1" t="s">
        <v>35</v>
      </c>
      <c r="E130" s="1" t="s">
        <v>32</v>
      </c>
      <c r="F130" s="1" t="s">
        <v>16</v>
      </c>
      <c r="G130">
        <v>28.02</v>
      </c>
      <c r="H130">
        <v>5.9</v>
      </c>
      <c r="I130">
        <v>1.1200000000000001</v>
      </c>
      <c r="J130">
        <v>42</v>
      </c>
      <c r="K130">
        <v>83.9</v>
      </c>
      <c r="L130">
        <v>140</v>
      </c>
    </row>
    <row r="131" spans="1:12" x14ac:dyDescent="0.25">
      <c r="A131">
        <v>2020</v>
      </c>
      <c r="B131" s="1" t="s">
        <v>33</v>
      </c>
      <c r="C131" s="1" t="s">
        <v>34</v>
      </c>
      <c r="D131" s="1" t="s">
        <v>35</v>
      </c>
      <c r="E131" s="1" t="s">
        <v>32</v>
      </c>
      <c r="F131" s="1" t="s">
        <v>16</v>
      </c>
      <c r="G131">
        <v>9.5500000000000007</v>
      </c>
      <c r="H131">
        <v>5.9</v>
      </c>
      <c r="I131">
        <v>-3.28</v>
      </c>
      <c r="J131">
        <v>14.3</v>
      </c>
      <c r="K131">
        <v>52.2</v>
      </c>
      <c r="L131">
        <v>47</v>
      </c>
    </row>
    <row r="132" spans="1:12" x14ac:dyDescent="0.25">
      <c r="A132">
        <v>2021</v>
      </c>
      <c r="B132" s="1" t="s">
        <v>33</v>
      </c>
      <c r="C132" s="1" t="s">
        <v>34</v>
      </c>
      <c r="D132" s="1" t="s">
        <v>35</v>
      </c>
      <c r="E132" s="1" t="s">
        <v>32</v>
      </c>
      <c r="F132" s="1" t="s">
        <v>16</v>
      </c>
      <c r="G132">
        <v>10.64</v>
      </c>
      <c r="H132">
        <v>5.9</v>
      </c>
      <c r="I132">
        <v>-1.9</v>
      </c>
      <c r="J132">
        <v>16</v>
      </c>
      <c r="K132">
        <v>69.099999999999994</v>
      </c>
      <c r="L132">
        <v>53</v>
      </c>
    </row>
    <row r="133" spans="1:12" x14ac:dyDescent="0.25">
      <c r="A133">
        <v>2022</v>
      </c>
      <c r="B133" s="1" t="s">
        <v>33</v>
      </c>
      <c r="C133" s="1" t="s">
        <v>34</v>
      </c>
      <c r="D133" s="1" t="s">
        <v>35</v>
      </c>
      <c r="E133" s="1" t="s">
        <v>32</v>
      </c>
      <c r="F133" s="1" t="s">
        <v>16</v>
      </c>
      <c r="G133">
        <v>26.87</v>
      </c>
      <c r="H133">
        <v>5.9</v>
      </c>
      <c r="I133">
        <v>1.01</v>
      </c>
      <c r="J133">
        <v>40.299999999999997</v>
      </c>
      <c r="K133">
        <v>83.3</v>
      </c>
      <c r="L133">
        <v>134</v>
      </c>
    </row>
    <row r="134" spans="1:12" x14ac:dyDescent="0.25">
      <c r="A134">
        <v>2023</v>
      </c>
      <c r="B134" s="1" t="s">
        <v>33</v>
      </c>
      <c r="C134" s="1" t="s">
        <v>34</v>
      </c>
      <c r="D134" s="1" t="s">
        <v>35</v>
      </c>
      <c r="E134" s="1" t="s">
        <v>32</v>
      </c>
      <c r="F134" s="1" t="s">
        <v>16</v>
      </c>
      <c r="G134">
        <v>33.25</v>
      </c>
      <c r="H134">
        <v>5.9</v>
      </c>
      <c r="I134">
        <v>2.85</v>
      </c>
      <c r="J134">
        <v>49.9</v>
      </c>
      <c r="K134">
        <v>84.1</v>
      </c>
      <c r="L134">
        <v>166</v>
      </c>
    </row>
    <row r="135" spans="1:12" x14ac:dyDescent="0.25">
      <c r="A135">
        <v>2024</v>
      </c>
      <c r="B135" s="1" t="s">
        <v>33</v>
      </c>
      <c r="C135" s="1" t="s">
        <v>34</v>
      </c>
      <c r="D135" s="1" t="s">
        <v>35</v>
      </c>
      <c r="E135" s="1" t="s">
        <v>32</v>
      </c>
      <c r="F135" s="1" t="s">
        <v>16</v>
      </c>
      <c r="G135">
        <v>33</v>
      </c>
      <c r="H135">
        <v>5.9</v>
      </c>
      <c r="I135">
        <v>2.4900000000000002</v>
      </c>
      <c r="J135">
        <v>49.5</v>
      </c>
      <c r="K135">
        <v>83.4</v>
      </c>
      <c r="L135">
        <v>164</v>
      </c>
    </row>
    <row r="136" spans="1:12" x14ac:dyDescent="0.25">
      <c r="A136">
        <v>2025</v>
      </c>
      <c r="B136" s="1" t="s">
        <v>33</v>
      </c>
      <c r="C136" s="1" t="s">
        <v>34</v>
      </c>
      <c r="D136" s="1" t="s">
        <v>35</v>
      </c>
      <c r="E136" s="1" t="s">
        <v>32</v>
      </c>
      <c r="F136" s="1" t="s">
        <v>16</v>
      </c>
      <c r="G136">
        <v>36.229999999999997</v>
      </c>
      <c r="H136">
        <v>5.9</v>
      </c>
      <c r="I136">
        <v>2.54</v>
      </c>
      <c r="J136">
        <v>54.3</v>
      </c>
      <c r="K136">
        <v>84</v>
      </c>
      <c r="L136">
        <v>181</v>
      </c>
    </row>
    <row r="137" spans="1:12" x14ac:dyDescent="0.25">
      <c r="A137">
        <v>2026</v>
      </c>
      <c r="B137" s="1" t="s">
        <v>33</v>
      </c>
      <c r="C137" s="1" t="s">
        <v>34</v>
      </c>
      <c r="D137" s="1" t="s">
        <v>35</v>
      </c>
      <c r="E137" s="1" t="s">
        <v>32</v>
      </c>
      <c r="F137" s="1" t="s">
        <v>16</v>
      </c>
      <c r="G137">
        <v>36.71</v>
      </c>
      <c r="H137">
        <v>5.9</v>
      </c>
      <c r="I137">
        <v>2.09</v>
      </c>
      <c r="J137">
        <v>55.1</v>
      </c>
      <c r="K137">
        <v>84.7</v>
      </c>
      <c r="L137">
        <v>183</v>
      </c>
    </row>
    <row r="138" spans="1:12" x14ac:dyDescent="0.25">
      <c r="A138">
        <v>2010</v>
      </c>
      <c r="B138" s="1" t="s">
        <v>36</v>
      </c>
      <c r="C138" s="1" t="s">
        <v>37</v>
      </c>
      <c r="D138" s="1" t="s">
        <v>38</v>
      </c>
      <c r="E138" s="1" t="s">
        <v>32</v>
      </c>
      <c r="F138" s="1" t="s">
        <v>16</v>
      </c>
      <c r="G138">
        <v>28.73</v>
      </c>
      <c r="H138">
        <v>5.9</v>
      </c>
      <c r="I138">
        <v>0.79</v>
      </c>
      <c r="J138">
        <v>43.1</v>
      </c>
      <c r="K138">
        <v>80</v>
      </c>
      <c r="L138">
        <v>143</v>
      </c>
    </row>
    <row r="139" spans="1:12" x14ac:dyDescent="0.25">
      <c r="A139">
        <v>2011</v>
      </c>
      <c r="B139" s="1" t="s">
        <v>36</v>
      </c>
      <c r="C139" s="1" t="s">
        <v>37</v>
      </c>
      <c r="D139" s="1" t="s">
        <v>38</v>
      </c>
      <c r="E139" s="1" t="s">
        <v>32</v>
      </c>
      <c r="F139" s="1" t="s">
        <v>16</v>
      </c>
      <c r="G139">
        <v>27.97</v>
      </c>
      <c r="H139">
        <v>5.9</v>
      </c>
      <c r="I139">
        <v>1.2</v>
      </c>
      <c r="J139">
        <v>42</v>
      </c>
      <c r="K139">
        <v>84.5</v>
      </c>
      <c r="L139">
        <v>139</v>
      </c>
    </row>
    <row r="140" spans="1:12" x14ac:dyDescent="0.25">
      <c r="A140">
        <v>2012</v>
      </c>
      <c r="B140" s="1" t="s">
        <v>36</v>
      </c>
      <c r="C140" s="1" t="s">
        <v>37</v>
      </c>
      <c r="D140" s="1" t="s">
        <v>38</v>
      </c>
      <c r="E140" s="1" t="s">
        <v>32</v>
      </c>
      <c r="F140" s="1" t="s">
        <v>16</v>
      </c>
      <c r="G140">
        <v>29.25</v>
      </c>
      <c r="H140">
        <v>5.9</v>
      </c>
      <c r="I140">
        <v>1.9</v>
      </c>
      <c r="J140">
        <v>43.9</v>
      </c>
      <c r="K140">
        <v>85.2</v>
      </c>
      <c r="L140">
        <v>146</v>
      </c>
    </row>
    <row r="141" spans="1:12" x14ac:dyDescent="0.25">
      <c r="A141">
        <v>2013</v>
      </c>
      <c r="B141" s="1" t="s">
        <v>36</v>
      </c>
      <c r="C141" s="1" t="s">
        <v>37</v>
      </c>
      <c r="D141" s="1" t="s">
        <v>38</v>
      </c>
      <c r="E141" s="1" t="s">
        <v>32</v>
      </c>
      <c r="F141" s="1" t="s">
        <v>16</v>
      </c>
      <c r="G141">
        <v>30.18</v>
      </c>
      <c r="H141">
        <v>5.9</v>
      </c>
      <c r="I141">
        <v>1.76</v>
      </c>
      <c r="J141">
        <v>45.3</v>
      </c>
      <c r="K141">
        <v>85.7</v>
      </c>
      <c r="L141">
        <v>150</v>
      </c>
    </row>
    <row r="142" spans="1:12" x14ac:dyDescent="0.25">
      <c r="A142">
        <v>2014</v>
      </c>
      <c r="B142" s="1" t="s">
        <v>36</v>
      </c>
      <c r="C142" s="1" t="s">
        <v>37</v>
      </c>
      <c r="D142" s="1" t="s">
        <v>38</v>
      </c>
      <c r="E142" s="1" t="s">
        <v>32</v>
      </c>
      <c r="F142" s="1" t="s">
        <v>16</v>
      </c>
      <c r="G142">
        <v>28.58</v>
      </c>
      <c r="H142">
        <v>5.9</v>
      </c>
      <c r="I142">
        <v>1.1200000000000001</v>
      </c>
      <c r="J142">
        <v>42.9</v>
      </c>
      <c r="K142">
        <v>81.8</v>
      </c>
      <c r="L142">
        <v>142</v>
      </c>
    </row>
    <row r="143" spans="1:12" x14ac:dyDescent="0.25">
      <c r="A143">
        <v>2015</v>
      </c>
      <c r="B143" s="1" t="s">
        <v>36</v>
      </c>
      <c r="C143" s="1" t="s">
        <v>37</v>
      </c>
      <c r="D143" s="1" t="s">
        <v>38</v>
      </c>
      <c r="E143" s="1" t="s">
        <v>32</v>
      </c>
      <c r="F143" s="1" t="s">
        <v>16</v>
      </c>
      <c r="G143">
        <v>26.78</v>
      </c>
      <c r="H143">
        <v>5.9</v>
      </c>
      <c r="I143">
        <v>1.01</v>
      </c>
      <c r="J143">
        <v>40.200000000000003</v>
      </c>
      <c r="K143">
        <v>82.3</v>
      </c>
      <c r="L143">
        <v>133</v>
      </c>
    </row>
    <row r="144" spans="1:12" x14ac:dyDescent="0.25">
      <c r="A144">
        <v>2016</v>
      </c>
      <c r="B144" s="1" t="s">
        <v>36</v>
      </c>
      <c r="C144" s="1" t="s">
        <v>37</v>
      </c>
      <c r="D144" s="1" t="s">
        <v>38</v>
      </c>
      <c r="E144" s="1" t="s">
        <v>32</v>
      </c>
      <c r="F144" s="1" t="s">
        <v>16</v>
      </c>
      <c r="G144">
        <v>29.47</v>
      </c>
      <c r="H144">
        <v>5.9</v>
      </c>
      <c r="I144">
        <v>3.04</v>
      </c>
      <c r="J144">
        <v>44.2</v>
      </c>
      <c r="K144">
        <v>80.2</v>
      </c>
      <c r="L144">
        <v>147</v>
      </c>
    </row>
    <row r="145" spans="1:12" x14ac:dyDescent="0.25">
      <c r="A145">
        <v>2017</v>
      </c>
      <c r="B145" s="1" t="s">
        <v>36</v>
      </c>
      <c r="C145" s="1" t="s">
        <v>37</v>
      </c>
      <c r="D145" s="1" t="s">
        <v>38</v>
      </c>
      <c r="E145" s="1" t="s">
        <v>32</v>
      </c>
      <c r="F145" s="1" t="s">
        <v>16</v>
      </c>
      <c r="G145">
        <v>29.88</v>
      </c>
      <c r="H145">
        <v>5.9</v>
      </c>
      <c r="I145">
        <v>1.02</v>
      </c>
      <c r="J145">
        <v>44.8</v>
      </c>
      <c r="K145">
        <v>83.9</v>
      </c>
      <c r="L145">
        <v>149</v>
      </c>
    </row>
    <row r="146" spans="1:12" x14ac:dyDescent="0.25">
      <c r="A146">
        <v>2018</v>
      </c>
      <c r="B146" s="1" t="s">
        <v>36</v>
      </c>
      <c r="C146" s="1" t="s">
        <v>37</v>
      </c>
      <c r="D146" s="1" t="s">
        <v>38</v>
      </c>
      <c r="E146" s="1" t="s">
        <v>32</v>
      </c>
      <c r="F146" s="1" t="s">
        <v>16</v>
      </c>
      <c r="G146">
        <v>30.18</v>
      </c>
      <c r="H146">
        <v>5.9</v>
      </c>
      <c r="I146">
        <v>0.43</v>
      </c>
      <c r="J146">
        <v>45.3</v>
      </c>
      <c r="K146">
        <v>84.9</v>
      </c>
      <c r="L146">
        <v>150</v>
      </c>
    </row>
    <row r="147" spans="1:12" x14ac:dyDescent="0.25">
      <c r="A147">
        <v>2019</v>
      </c>
      <c r="B147" s="1" t="s">
        <v>36</v>
      </c>
      <c r="C147" s="1" t="s">
        <v>37</v>
      </c>
      <c r="D147" s="1" t="s">
        <v>38</v>
      </c>
      <c r="E147" s="1" t="s">
        <v>32</v>
      </c>
      <c r="F147" s="1" t="s">
        <v>16</v>
      </c>
      <c r="G147">
        <v>29.85</v>
      </c>
      <c r="H147">
        <v>5.9</v>
      </c>
      <c r="I147">
        <v>1.39</v>
      </c>
      <c r="J147">
        <v>44.8</v>
      </c>
      <c r="K147">
        <v>80.900000000000006</v>
      </c>
      <c r="L147">
        <v>149</v>
      </c>
    </row>
    <row r="148" spans="1:12" x14ac:dyDescent="0.25">
      <c r="A148">
        <v>2020</v>
      </c>
      <c r="B148" s="1" t="s">
        <v>36</v>
      </c>
      <c r="C148" s="1" t="s">
        <v>37</v>
      </c>
      <c r="D148" s="1" t="s">
        <v>38</v>
      </c>
      <c r="E148" s="1" t="s">
        <v>32</v>
      </c>
      <c r="F148" s="1" t="s">
        <v>16</v>
      </c>
      <c r="G148">
        <v>11.47</v>
      </c>
      <c r="H148">
        <v>5.9</v>
      </c>
      <c r="I148">
        <v>-3.89</v>
      </c>
      <c r="J148">
        <v>17.2</v>
      </c>
      <c r="K148">
        <v>54.6</v>
      </c>
      <c r="L148">
        <v>57</v>
      </c>
    </row>
    <row r="149" spans="1:12" x14ac:dyDescent="0.25">
      <c r="A149">
        <v>2021</v>
      </c>
      <c r="B149" s="1" t="s">
        <v>36</v>
      </c>
      <c r="C149" s="1" t="s">
        <v>37</v>
      </c>
      <c r="D149" s="1" t="s">
        <v>38</v>
      </c>
      <c r="E149" s="1" t="s">
        <v>32</v>
      </c>
      <c r="F149" s="1" t="s">
        <v>16</v>
      </c>
      <c r="G149">
        <v>16.760000000000002</v>
      </c>
      <c r="H149">
        <v>5.9</v>
      </c>
      <c r="I149">
        <v>-2.87</v>
      </c>
      <c r="J149">
        <v>25.1</v>
      </c>
      <c r="K149">
        <v>72.599999999999994</v>
      </c>
      <c r="L149">
        <v>83</v>
      </c>
    </row>
    <row r="150" spans="1:12" x14ac:dyDescent="0.25">
      <c r="A150">
        <v>2022</v>
      </c>
      <c r="B150" s="1" t="s">
        <v>36</v>
      </c>
      <c r="C150" s="1" t="s">
        <v>37</v>
      </c>
      <c r="D150" s="1" t="s">
        <v>38</v>
      </c>
      <c r="E150" s="1" t="s">
        <v>32</v>
      </c>
      <c r="F150" s="1" t="s">
        <v>16</v>
      </c>
      <c r="G150">
        <v>28.11</v>
      </c>
      <c r="H150">
        <v>5.9</v>
      </c>
      <c r="I150">
        <v>-0.48</v>
      </c>
      <c r="J150">
        <v>42.2</v>
      </c>
      <c r="K150">
        <v>85.1</v>
      </c>
      <c r="L150">
        <v>140</v>
      </c>
    </row>
    <row r="151" spans="1:12" x14ac:dyDescent="0.25">
      <c r="A151">
        <v>2023</v>
      </c>
      <c r="B151" s="1" t="s">
        <v>36</v>
      </c>
      <c r="C151" s="1" t="s">
        <v>37</v>
      </c>
      <c r="D151" s="1" t="s">
        <v>38</v>
      </c>
      <c r="E151" s="1" t="s">
        <v>32</v>
      </c>
      <c r="F151" s="1" t="s">
        <v>16</v>
      </c>
      <c r="G151">
        <v>32.479999999999997</v>
      </c>
      <c r="H151">
        <v>5.9</v>
      </c>
      <c r="I151">
        <v>3.5</v>
      </c>
      <c r="J151">
        <v>48.7</v>
      </c>
      <c r="K151">
        <v>83.8</v>
      </c>
      <c r="L151">
        <v>162</v>
      </c>
    </row>
    <row r="152" spans="1:12" x14ac:dyDescent="0.25">
      <c r="A152">
        <v>2024</v>
      </c>
      <c r="B152" s="1" t="s">
        <v>36</v>
      </c>
      <c r="C152" s="1" t="s">
        <v>37</v>
      </c>
      <c r="D152" s="1" t="s">
        <v>38</v>
      </c>
      <c r="E152" s="1" t="s">
        <v>32</v>
      </c>
      <c r="F152" s="1" t="s">
        <v>16</v>
      </c>
      <c r="G152">
        <v>33.770000000000003</v>
      </c>
      <c r="H152">
        <v>5.9</v>
      </c>
      <c r="I152">
        <v>3</v>
      </c>
      <c r="J152">
        <v>50.7</v>
      </c>
      <c r="K152">
        <v>86.9</v>
      </c>
      <c r="L152">
        <v>168</v>
      </c>
    </row>
    <row r="153" spans="1:12" x14ac:dyDescent="0.25">
      <c r="A153">
        <v>2025</v>
      </c>
      <c r="B153" s="1" t="s">
        <v>36</v>
      </c>
      <c r="C153" s="1" t="s">
        <v>37</v>
      </c>
      <c r="D153" s="1" t="s">
        <v>38</v>
      </c>
      <c r="E153" s="1" t="s">
        <v>32</v>
      </c>
      <c r="F153" s="1" t="s">
        <v>16</v>
      </c>
      <c r="G153">
        <v>38</v>
      </c>
      <c r="H153">
        <v>5.9</v>
      </c>
      <c r="I153">
        <v>3.11</v>
      </c>
      <c r="J153">
        <v>57</v>
      </c>
      <c r="K153">
        <v>83.3</v>
      </c>
      <c r="L153">
        <v>189</v>
      </c>
    </row>
    <row r="154" spans="1:12" x14ac:dyDescent="0.25">
      <c r="A154">
        <v>2026</v>
      </c>
      <c r="B154" s="1" t="s">
        <v>36</v>
      </c>
      <c r="C154" s="1" t="s">
        <v>37</v>
      </c>
      <c r="D154" s="1" t="s">
        <v>38</v>
      </c>
      <c r="E154" s="1" t="s">
        <v>32</v>
      </c>
      <c r="F154" s="1" t="s">
        <v>16</v>
      </c>
      <c r="G154">
        <v>38.729999999999997</v>
      </c>
      <c r="H154">
        <v>5.9</v>
      </c>
      <c r="I154">
        <v>1.51</v>
      </c>
      <c r="J154">
        <v>58.1</v>
      </c>
      <c r="K154">
        <v>83.7</v>
      </c>
      <c r="L154">
        <v>193</v>
      </c>
    </row>
    <row r="155" spans="1:12" x14ac:dyDescent="0.25">
      <c r="A155">
        <v>2010</v>
      </c>
      <c r="B155" s="1" t="s">
        <v>39</v>
      </c>
      <c r="C155" s="1" t="s">
        <v>40</v>
      </c>
      <c r="D155" s="1" t="s">
        <v>41</v>
      </c>
      <c r="E155" s="1" t="s">
        <v>32</v>
      </c>
      <c r="F155" s="1" t="s">
        <v>23</v>
      </c>
      <c r="G155">
        <v>3.6</v>
      </c>
      <c r="H155">
        <v>5.9</v>
      </c>
      <c r="I155">
        <v>0.46</v>
      </c>
      <c r="J155">
        <v>14.4</v>
      </c>
      <c r="K155">
        <v>85.3</v>
      </c>
      <c r="L155">
        <v>17</v>
      </c>
    </row>
    <row r="156" spans="1:12" x14ac:dyDescent="0.25">
      <c r="A156">
        <v>2011</v>
      </c>
      <c r="B156" s="1" t="s">
        <v>39</v>
      </c>
      <c r="C156" s="1" t="s">
        <v>40</v>
      </c>
      <c r="D156" s="1" t="s">
        <v>41</v>
      </c>
      <c r="E156" s="1" t="s">
        <v>32</v>
      </c>
      <c r="F156" s="1" t="s">
        <v>23</v>
      </c>
      <c r="G156">
        <v>3.83</v>
      </c>
      <c r="H156">
        <v>5.9</v>
      </c>
      <c r="I156">
        <v>0.26</v>
      </c>
      <c r="J156">
        <v>15.3</v>
      </c>
      <c r="K156">
        <v>84.8</v>
      </c>
      <c r="L156">
        <v>19</v>
      </c>
    </row>
    <row r="157" spans="1:12" x14ac:dyDescent="0.25">
      <c r="A157">
        <v>2012</v>
      </c>
      <c r="B157" s="1" t="s">
        <v>39</v>
      </c>
      <c r="C157" s="1" t="s">
        <v>40</v>
      </c>
      <c r="D157" s="1" t="s">
        <v>41</v>
      </c>
      <c r="E157" s="1" t="s">
        <v>32</v>
      </c>
      <c r="F157" s="1" t="s">
        <v>23</v>
      </c>
      <c r="G157">
        <v>4.38</v>
      </c>
      <c r="H157">
        <v>5.9</v>
      </c>
      <c r="I157">
        <v>0.49</v>
      </c>
      <c r="J157">
        <v>17.5</v>
      </c>
      <c r="K157">
        <v>90.9</v>
      </c>
      <c r="L157">
        <v>21</v>
      </c>
    </row>
    <row r="158" spans="1:12" x14ac:dyDescent="0.25">
      <c r="A158">
        <v>2013</v>
      </c>
      <c r="B158" s="1" t="s">
        <v>39</v>
      </c>
      <c r="C158" s="1" t="s">
        <v>40</v>
      </c>
      <c r="D158" s="1" t="s">
        <v>41</v>
      </c>
      <c r="E158" s="1" t="s">
        <v>32</v>
      </c>
      <c r="F158" s="1" t="s">
        <v>23</v>
      </c>
      <c r="G158">
        <v>5.0199999999999996</v>
      </c>
      <c r="H158">
        <v>5.9</v>
      </c>
      <c r="I158">
        <v>0.48</v>
      </c>
      <c r="J158">
        <v>20.100000000000001</v>
      </c>
      <c r="K158">
        <v>87.7</v>
      </c>
      <c r="L158">
        <v>25</v>
      </c>
    </row>
    <row r="159" spans="1:12" x14ac:dyDescent="0.25">
      <c r="A159">
        <v>2014</v>
      </c>
      <c r="B159" s="1" t="s">
        <v>39</v>
      </c>
      <c r="C159" s="1" t="s">
        <v>40</v>
      </c>
      <c r="D159" s="1" t="s">
        <v>41</v>
      </c>
      <c r="E159" s="1" t="s">
        <v>32</v>
      </c>
      <c r="F159" s="1" t="s">
        <v>23</v>
      </c>
      <c r="G159">
        <v>5.22</v>
      </c>
      <c r="H159">
        <v>5.9</v>
      </c>
      <c r="I159">
        <v>0.59</v>
      </c>
      <c r="J159">
        <v>20.9</v>
      </c>
      <c r="K159">
        <v>87.4</v>
      </c>
      <c r="L159">
        <v>26</v>
      </c>
    </row>
    <row r="160" spans="1:12" x14ac:dyDescent="0.25">
      <c r="A160">
        <v>2015</v>
      </c>
      <c r="B160" s="1" t="s">
        <v>39</v>
      </c>
      <c r="C160" s="1" t="s">
        <v>40</v>
      </c>
      <c r="D160" s="1" t="s">
        <v>41</v>
      </c>
      <c r="E160" s="1" t="s">
        <v>32</v>
      </c>
      <c r="F160" s="1" t="s">
        <v>23</v>
      </c>
      <c r="G160">
        <v>5.81</v>
      </c>
      <c r="H160">
        <v>5.9</v>
      </c>
      <c r="I160">
        <v>0.65</v>
      </c>
      <c r="J160">
        <v>23.2</v>
      </c>
      <c r="K160">
        <v>89.1</v>
      </c>
      <c r="L160">
        <v>29</v>
      </c>
    </row>
    <row r="161" spans="1:12" x14ac:dyDescent="0.25">
      <c r="A161">
        <v>2016</v>
      </c>
      <c r="B161" s="1" t="s">
        <v>39</v>
      </c>
      <c r="C161" s="1" t="s">
        <v>40</v>
      </c>
      <c r="D161" s="1" t="s">
        <v>41</v>
      </c>
      <c r="E161" s="1" t="s">
        <v>32</v>
      </c>
      <c r="F161" s="1" t="s">
        <v>23</v>
      </c>
      <c r="G161">
        <v>6.15</v>
      </c>
      <c r="H161">
        <v>5.9</v>
      </c>
      <c r="I161">
        <v>0.74</v>
      </c>
      <c r="J161">
        <v>24.6</v>
      </c>
      <c r="K161">
        <v>92.2</v>
      </c>
      <c r="L161">
        <v>30</v>
      </c>
    </row>
    <row r="162" spans="1:12" x14ac:dyDescent="0.25">
      <c r="A162">
        <v>2017</v>
      </c>
      <c r="B162" s="1" t="s">
        <v>39</v>
      </c>
      <c r="C162" s="1" t="s">
        <v>40</v>
      </c>
      <c r="D162" s="1" t="s">
        <v>41</v>
      </c>
      <c r="E162" s="1" t="s">
        <v>32</v>
      </c>
      <c r="F162" s="1" t="s">
        <v>23</v>
      </c>
      <c r="G162">
        <v>7.08</v>
      </c>
      <c r="H162">
        <v>5.9</v>
      </c>
      <c r="I162">
        <v>1.1000000000000001</v>
      </c>
      <c r="J162">
        <v>28.3</v>
      </c>
      <c r="K162">
        <v>87.2</v>
      </c>
      <c r="L162">
        <v>35</v>
      </c>
    </row>
    <row r="163" spans="1:12" x14ac:dyDescent="0.25">
      <c r="A163">
        <v>2018</v>
      </c>
      <c r="B163" s="1" t="s">
        <v>39</v>
      </c>
      <c r="C163" s="1" t="s">
        <v>40</v>
      </c>
      <c r="D163" s="1" t="s">
        <v>41</v>
      </c>
      <c r="E163" s="1" t="s">
        <v>32</v>
      </c>
      <c r="F163" s="1" t="s">
        <v>23</v>
      </c>
      <c r="G163">
        <v>7.84</v>
      </c>
      <c r="H163">
        <v>5.9</v>
      </c>
      <c r="I163">
        <v>0.93</v>
      </c>
      <c r="J163">
        <v>31.3</v>
      </c>
      <c r="K163">
        <v>86.7</v>
      </c>
      <c r="L163">
        <v>39</v>
      </c>
    </row>
    <row r="164" spans="1:12" x14ac:dyDescent="0.25">
      <c r="A164">
        <v>2019</v>
      </c>
      <c r="B164" s="1" t="s">
        <v>39</v>
      </c>
      <c r="C164" s="1" t="s">
        <v>40</v>
      </c>
      <c r="D164" s="1" t="s">
        <v>41</v>
      </c>
      <c r="E164" s="1" t="s">
        <v>32</v>
      </c>
      <c r="F164" s="1" t="s">
        <v>23</v>
      </c>
      <c r="G164">
        <v>8.3000000000000007</v>
      </c>
      <c r="H164">
        <v>5.9</v>
      </c>
      <c r="I164">
        <v>1.0900000000000001</v>
      </c>
      <c r="J164">
        <v>33.200000000000003</v>
      </c>
      <c r="K164">
        <v>85.3</v>
      </c>
      <c r="L164">
        <v>41</v>
      </c>
    </row>
    <row r="165" spans="1:12" x14ac:dyDescent="0.25">
      <c r="A165">
        <v>2020</v>
      </c>
      <c r="B165" s="1" t="s">
        <v>39</v>
      </c>
      <c r="C165" s="1" t="s">
        <v>40</v>
      </c>
      <c r="D165" s="1" t="s">
        <v>41</v>
      </c>
      <c r="E165" s="1" t="s">
        <v>32</v>
      </c>
      <c r="F165" s="1" t="s">
        <v>23</v>
      </c>
      <c r="G165">
        <v>1.84</v>
      </c>
      <c r="H165">
        <v>5.9</v>
      </c>
      <c r="I165">
        <v>-0.59</v>
      </c>
      <c r="J165">
        <v>7.3</v>
      </c>
      <c r="K165">
        <v>55.7</v>
      </c>
      <c r="L165">
        <v>9</v>
      </c>
    </row>
    <row r="166" spans="1:12" x14ac:dyDescent="0.25">
      <c r="A166">
        <v>2021</v>
      </c>
      <c r="B166" s="1" t="s">
        <v>39</v>
      </c>
      <c r="C166" s="1" t="s">
        <v>40</v>
      </c>
      <c r="D166" s="1" t="s">
        <v>41</v>
      </c>
      <c r="E166" s="1" t="s">
        <v>32</v>
      </c>
      <c r="F166" s="1" t="s">
        <v>23</v>
      </c>
      <c r="G166">
        <v>1.59</v>
      </c>
      <c r="H166">
        <v>5.9</v>
      </c>
      <c r="I166">
        <v>-0.27</v>
      </c>
      <c r="J166">
        <v>6.3</v>
      </c>
      <c r="K166">
        <v>69.400000000000006</v>
      </c>
      <c r="L166">
        <v>7</v>
      </c>
    </row>
    <row r="167" spans="1:12" x14ac:dyDescent="0.25">
      <c r="A167">
        <v>2022</v>
      </c>
      <c r="B167" s="1" t="s">
        <v>39</v>
      </c>
      <c r="C167" s="1" t="s">
        <v>40</v>
      </c>
      <c r="D167" s="1" t="s">
        <v>41</v>
      </c>
      <c r="E167" s="1" t="s">
        <v>32</v>
      </c>
      <c r="F167" s="1" t="s">
        <v>23</v>
      </c>
      <c r="G167">
        <v>11.11</v>
      </c>
      <c r="H167">
        <v>5.9</v>
      </c>
      <c r="I167">
        <v>-0.28999999999999998</v>
      </c>
      <c r="J167">
        <v>44.4</v>
      </c>
      <c r="K167">
        <v>86.3</v>
      </c>
      <c r="L167">
        <v>55</v>
      </c>
    </row>
    <row r="168" spans="1:12" x14ac:dyDescent="0.25">
      <c r="A168">
        <v>2023</v>
      </c>
      <c r="B168" s="1" t="s">
        <v>39</v>
      </c>
      <c r="C168" s="1" t="s">
        <v>40</v>
      </c>
      <c r="D168" s="1" t="s">
        <v>41</v>
      </c>
      <c r="E168" s="1" t="s">
        <v>32</v>
      </c>
      <c r="F168" s="1" t="s">
        <v>23</v>
      </c>
      <c r="G168">
        <v>12.91</v>
      </c>
      <c r="H168">
        <v>5.9</v>
      </c>
      <c r="I168">
        <v>1.07</v>
      </c>
      <c r="J168">
        <v>51.6</v>
      </c>
      <c r="K168">
        <v>89.7</v>
      </c>
      <c r="L168">
        <v>64</v>
      </c>
    </row>
    <row r="169" spans="1:12" x14ac:dyDescent="0.25">
      <c r="A169">
        <v>2024</v>
      </c>
      <c r="B169" s="1" t="s">
        <v>39</v>
      </c>
      <c r="C169" s="1" t="s">
        <v>40</v>
      </c>
      <c r="D169" s="1" t="s">
        <v>41</v>
      </c>
      <c r="E169" s="1" t="s">
        <v>32</v>
      </c>
      <c r="F169" s="1" t="s">
        <v>23</v>
      </c>
      <c r="G169">
        <v>14.89</v>
      </c>
      <c r="H169">
        <v>5.9</v>
      </c>
      <c r="I169">
        <v>1.52</v>
      </c>
      <c r="J169">
        <v>59.6</v>
      </c>
      <c r="K169">
        <v>84</v>
      </c>
      <c r="L169">
        <v>74</v>
      </c>
    </row>
    <row r="170" spans="1:12" x14ac:dyDescent="0.25">
      <c r="A170">
        <v>2025</v>
      </c>
      <c r="B170" s="1" t="s">
        <v>39</v>
      </c>
      <c r="C170" s="1" t="s">
        <v>40</v>
      </c>
      <c r="D170" s="1" t="s">
        <v>41</v>
      </c>
      <c r="E170" s="1" t="s">
        <v>32</v>
      </c>
      <c r="F170" s="1" t="s">
        <v>23</v>
      </c>
      <c r="G170">
        <v>13.95</v>
      </c>
      <c r="H170">
        <v>5.9</v>
      </c>
      <c r="I170">
        <v>1.48</v>
      </c>
      <c r="J170">
        <v>55.8</v>
      </c>
      <c r="K170">
        <v>91.8</v>
      </c>
      <c r="L170">
        <v>69</v>
      </c>
    </row>
    <row r="171" spans="1:12" x14ac:dyDescent="0.25">
      <c r="A171">
        <v>2026</v>
      </c>
      <c r="B171" s="1" t="s">
        <v>39</v>
      </c>
      <c r="C171" s="1" t="s">
        <v>40</v>
      </c>
      <c r="D171" s="1" t="s">
        <v>41</v>
      </c>
      <c r="E171" s="1" t="s">
        <v>32</v>
      </c>
      <c r="F171" s="1" t="s">
        <v>23</v>
      </c>
      <c r="G171">
        <v>16.21</v>
      </c>
      <c r="H171">
        <v>5.9</v>
      </c>
      <c r="I171">
        <v>1.72</v>
      </c>
      <c r="J171">
        <v>64.8</v>
      </c>
      <c r="K171">
        <v>87.9</v>
      </c>
      <c r="L171">
        <v>81</v>
      </c>
    </row>
    <row r="172" spans="1:12" x14ac:dyDescent="0.25">
      <c r="A172">
        <v>2010</v>
      </c>
      <c r="B172" s="1" t="s">
        <v>42</v>
      </c>
      <c r="C172" s="1" t="s">
        <v>43</v>
      </c>
      <c r="D172" s="1" t="s">
        <v>35</v>
      </c>
      <c r="E172" s="1" t="s">
        <v>32</v>
      </c>
      <c r="F172" s="1" t="s">
        <v>23</v>
      </c>
      <c r="G172">
        <v>4.01</v>
      </c>
      <c r="H172">
        <v>5.9</v>
      </c>
      <c r="I172">
        <v>0.45</v>
      </c>
      <c r="J172">
        <v>16</v>
      </c>
      <c r="K172">
        <v>87.2</v>
      </c>
      <c r="L172">
        <v>20</v>
      </c>
    </row>
    <row r="173" spans="1:12" x14ac:dyDescent="0.25">
      <c r="A173">
        <v>2011</v>
      </c>
      <c r="B173" s="1" t="s">
        <v>42</v>
      </c>
      <c r="C173" s="1" t="s">
        <v>43</v>
      </c>
      <c r="D173" s="1" t="s">
        <v>35</v>
      </c>
      <c r="E173" s="1" t="s">
        <v>32</v>
      </c>
      <c r="F173" s="1" t="s">
        <v>23</v>
      </c>
      <c r="G173">
        <v>4.79</v>
      </c>
      <c r="H173">
        <v>5.9</v>
      </c>
      <c r="I173">
        <v>0.67</v>
      </c>
      <c r="J173">
        <v>19.2</v>
      </c>
      <c r="K173">
        <v>87.7</v>
      </c>
      <c r="L173">
        <v>23</v>
      </c>
    </row>
    <row r="174" spans="1:12" x14ac:dyDescent="0.25">
      <c r="A174">
        <v>2012</v>
      </c>
      <c r="B174" s="1" t="s">
        <v>42</v>
      </c>
      <c r="C174" s="1" t="s">
        <v>43</v>
      </c>
      <c r="D174" s="1" t="s">
        <v>35</v>
      </c>
      <c r="E174" s="1" t="s">
        <v>32</v>
      </c>
      <c r="F174" s="1" t="s">
        <v>23</v>
      </c>
      <c r="G174">
        <v>5.51</v>
      </c>
      <c r="H174">
        <v>5.9</v>
      </c>
      <c r="I174">
        <v>0.56999999999999995</v>
      </c>
      <c r="J174">
        <v>22</v>
      </c>
      <c r="K174">
        <v>88.8</v>
      </c>
      <c r="L174">
        <v>27</v>
      </c>
    </row>
    <row r="175" spans="1:12" x14ac:dyDescent="0.25">
      <c r="A175">
        <v>2013</v>
      </c>
      <c r="B175" s="1" t="s">
        <v>42</v>
      </c>
      <c r="C175" s="1" t="s">
        <v>43</v>
      </c>
      <c r="D175" s="1" t="s">
        <v>35</v>
      </c>
      <c r="E175" s="1" t="s">
        <v>32</v>
      </c>
      <c r="F175" s="1" t="s">
        <v>23</v>
      </c>
      <c r="G175">
        <v>6.3</v>
      </c>
      <c r="H175">
        <v>5.9</v>
      </c>
      <c r="I175">
        <v>0.6</v>
      </c>
      <c r="J175">
        <v>25.2</v>
      </c>
      <c r="K175">
        <v>85.2</v>
      </c>
      <c r="L175">
        <v>31</v>
      </c>
    </row>
    <row r="176" spans="1:12" x14ac:dyDescent="0.25">
      <c r="A176">
        <v>2014</v>
      </c>
      <c r="B176" s="1" t="s">
        <v>42</v>
      </c>
      <c r="C176" s="1" t="s">
        <v>43</v>
      </c>
      <c r="D176" s="1" t="s">
        <v>35</v>
      </c>
      <c r="E176" s="1" t="s">
        <v>32</v>
      </c>
      <c r="F176" s="1" t="s">
        <v>23</v>
      </c>
      <c r="G176">
        <v>6.87</v>
      </c>
      <c r="H176">
        <v>5.9</v>
      </c>
      <c r="I176">
        <v>0.79</v>
      </c>
      <c r="J176">
        <v>27.5</v>
      </c>
      <c r="K176">
        <v>89.8</v>
      </c>
      <c r="L176">
        <v>34</v>
      </c>
    </row>
    <row r="177" spans="1:12" x14ac:dyDescent="0.25">
      <c r="A177">
        <v>2015</v>
      </c>
      <c r="B177" s="1" t="s">
        <v>42</v>
      </c>
      <c r="C177" s="1" t="s">
        <v>43</v>
      </c>
      <c r="D177" s="1" t="s">
        <v>35</v>
      </c>
      <c r="E177" s="1" t="s">
        <v>32</v>
      </c>
      <c r="F177" s="1" t="s">
        <v>23</v>
      </c>
      <c r="G177">
        <v>7.11</v>
      </c>
      <c r="H177">
        <v>5.9</v>
      </c>
      <c r="I177">
        <v>1.1100000000000001</v>
      </c>
      <c r="J177">
        <v>28.4</v>
      </c>
      <c r="K177">
        <v>87.3</v>
      </c>
      <c r="L177">
        <v>35</v>
      </c>
    </row>
    <row r="178" spans="1:12" x14ac:dyDescent="0.25">
      <c r="A178">
        <v>2016</v>
      </c>
      <c r="B178" s="1" t="s">
        <v>42</v>
      </c>
      <c r="C178" s="1" t="s">
        <v>43</v>
      </c>
      <c r="D178" s="1" t="s">
        <v>35</v>
      </c>
      <c r="E178" s="1" t="s">
        <v>32</v>
      </c>
      <c r="F178" s="1" t="s">
        <v>23</v>
      </c>
      <c r="G178">
        <v>7.66</v>
      </c>
      <c r="H178">
        <v>5.9</v>
      </c>
      <c r="I178">
        <v>1.22</v>
      </c>
      <c r="J178">
        <v>30.6</v>
      </c>
      <c r="K178">
        <v>86.3</v>
      </c>
      <c r="L178">
        <v>38</v>
      </c>
    </row>
    <row r="179" spans="1:12" x14ac:dyDescent="0.25">
      <c r="A179">
        <v>2017</v>
      </c>
      <c r="B179" s="1" t="s">
        <v>42</v>
      </c>
      <c r="C179" s="1" t="s">
        <v>43</v>
      </c>
      <c r="D179" s="1" t="s">
        <v>35</v>
      </c>
      <c r="E179" s="1" t="s">
        <v>32</v>
      </c>
      <c r="F179" s="1" t="s">
        <v>23</v>
      </c>
      <c r="G179">
        <v>7.78</v>
      </c>
      <c r="H179">
        <v>5.9</v>
      </c>
      <c r="I179">
        <v>0.85</v>
      </c>
      <c r="J179">
        <v>31.1</v>
      </c>
      <c r="K179">
        <v>87.9</v>
      </c>
      <c r="L179">
        <v>38</v>
      </c>
    </row>
    <row r="180" spans="1:12" x14ac:dyDescent="0.25">
      <c r="A180">
        <v>2018</v>
      </c>
      <c r="B180" s="1" t="s">
        <v>42</v>
      </c>
      <c r="C180" s="1" t="s">
        <v>43</v>
      </c>
      <c r="D180" s="1" t="s">
        <v>35</v>
      </c>
      <c r="E180" s="1" t="s">
        <v>32</v>
      </c>
      <c r="F180" s="1" t="s">
        <v>23</v>
      </c>
      <c r="G180">
        <v>8.01</v>
      </c>
      <c r="H180">
        <v>5.9</v>
      </c>
      <c r="I180">
        <v>1.0900000000000001</v>
      </c>
      <c r="J180">
        <v>32.1</v>
      </c>
      <c r="K180">
        <v>85.9</v>
      </c>
      <c r="L180">
        <v>40</v>
      </c>
    </row>
    <row r="181" spans="1:12" x14ac:dyDescent="0.25">
      <c r="A181">
        <v>2019</v>
      </c>
      <c r="B181" s="1" t="s">
        <v>42</v>
      </c>
      <c r="C181" s="1" t="s">
        <v>43</v>
      </c>
      <c r="D181" s="1" t="s">
        <v>35</v>
      </c>
      <c r="E181" s="1" t="s">
        <v>32</v>
      </c>
      <c r="F181" s="1" t="s">
        <v>23</v>
      </c>
      <c r="G181">
        <v>9</v>
      </c>
      <c r="H181">
        <v>5.9</v>
      </c>
      <c r="I181">
        <v>0.54</v>
      </c>
      <c r="J181">
        <v>36</v>
      </c>
      <c r="K181">
        <v>85.4</v>
      </c>
      <c r="L181">
        <v>45</v>
      </c>
    </row>
    <row r="182" spans="1:12" x14ac:dyDescent="0.25">
      <c r="A182">
        <v>2020</v>
      </c>
      <c r="B182" s="1" t="s">
        <v>42</v>
      </c>
      <c r="C182" s="1" t="s">
        <v>43</v>
      </c>
      <c r="D182" s="1" t="s">
        <v>35</v>
      </c>
      <c r="E182" s="1" t="s">
        <v>32</v>
      </c>
      <c r="F182" s="1" t="s">
        <v>23</v>
      </c>
      <c r="G182">
        <v>4.18</v>
      </c>
      <c r="H182">
        <v>5.9</v>
      </c>
      <c r="I182">
        <v>-1.55</v>
      </c>
      <c r="J182">
        <v>16.7</v>
      </c>
      <c r="K182">
        <v>55.5</v>
      </c>
      <c r="L182">
        <v>20</v>
      </c>
    </row>
    <row r="183" spans="1:12" x14ac:dyDescent="0.25">
      <c r="A183">
        <v>2021</v>
      </c>
      <c r="B183" s="1" t="s">
        <v>42</v>
      </c>
      <c r="C183" s="1" t="s">
        <v>43</v>
      </c>
      <c r="D183" s="1" t="s">
        <v>35</v>
      </c>
      <c r="E183" s="1" t="s">
        <v>32</v>
      </c>
      <c r="F183" s="1" t="s">
        <v>23</v>
      </c>
      <c r="G183">
        <v>1.99</v>
      </c>
      <c r="H183">
        <v>5.9</v>
      </c>
      <c r="I183">
        <v>-0.37</v>
      </c>
      <c r="J183">
        <v>8</v>
      </c>
      <c r="K183">
        <v>69.7</v>
      </c>
      <c r="L183">
        <v>9</v>
      </c>
    </row>
    <row r="184" spans="1:12" x14ac:dyDescent="0.25">
      <c r="A184">
        <v>2022</v>
      </c>
      <c r="B184" s="1" t="s">
        <v>42</v>
      </c>
      <c r="C184" s="1" t="s">
        <v>43</v>
      </c>
      <c r="D184" s="1" t="s">
        <v>35</v>
      </c>
      <c r="E184" s="1" t="s">
        <v>32</v>
      </c>
      <c r="F184" s="1" t="s">
        <v>23</v>
      </c>
      <c r="G184">
        <v>7.65</v>
      </c>
      <c r="H184">
        <v>5.9</v>
      </c>
      <c r="I184">
        <v>-0.04</v>
      </c>
      <c r="J184">
        <v>30.6</v>
      </c>
      <c r="K184">
        <v>88.4</v>
      </c>
      <c r="L184">
        <v>38</v>
      </c>
    </row>
    <row r="185" spans="1:12" x14ac:dyDescent="0.25">
      <c r="A185">
        <v>2023</v>
      </c>
      <c r="B185" s="1" t="s">
        <v>42</v>
      </c>
      <c r="C185" s="1" t="s">
        <v>43</v>
      </c>
      <c r="D185" s="1" t="s">
        <v>35</v>
      </c>
      <c r="E185" s="1" t="s">
        <v>32</v>
      </c>
      <c r="F185" s="1" t="s">
        <v>23</v>
      </c>
      <c r="G185">
        <v>11.22</v>
      </c>
      <c r="H185">
        <v>5.9</v>
      </c>
      <c r="I185">
        <v>1.45</v>
      </c>
      <c r="J185">
        <v>44.9</v>
      </c>
      <c r="K185">
        <v>88.1</v>
      </c>
      <c r="L185">
        <v>56</v>
      </c>
    </row>
    <row r="186" spans="1:12" x14ac:dyDescent="0.25">
      <c r="A186">
        <v>2024</v>
      </c>
      <c r="B186" s="1" t="s">
        <v>42</v>
      </c>
      <c r="C186" s="1" t="s">
        <v>43</v>
      </c>
      <c r="D186" s="1" t="s">
        <v>35</v>
      </c>
      <c r="E186" s="1" t="s">
        <v>32</v>
      </c>
      <c r="F186" s="1" t="s">
        <v>23</v>
      </c>
      <c r="G186">
        <v>11.7</v>
      </c>
      <c r="H186">
        <v>5.9</v>
      </c>
      <c r="I186">
        <v>2</v>
      </c>
      <c r="J186">
        <v>46.8</v>
      </c>
      <c r="K186">
        <v>86.8</v>
      </c>
      <c r="L186">
        <v>58</v>
      </c>
    </row>
    <row r="187" spans="1:12" x14ac:dyDescent="0.25">
      <c r="A187">
        <v>2025</v>
      </c>
      <c r="B187" s="1" t="s">
        <v>42</v>
      </c>
      <c r="C187" s="1" t="s">
        <v>43</v>
      </c>
      <c r="D187" s="1" t="s">
        <v>35</v>
      </c>
      <c r="E187" s="1" t="s">
        <v>32</v>
      </c>
      <c r="F187" s="1" t="s">
        <v>23</v>
      </c>
      <c r="G187">
        <v>11.94</v>
      </c>
      <c r="H187">
        <v>5.9</v>
      </c>
      <c r="I187">
        <v>1.21</v>
      </c>
      <c r="J187">
        <v>47.8</v>
      </c>
      <c r="K187">
        <v>84.9</v>
      </c>
      <c r="L187">
        <v>59</v>
      </c>
    </row>
    <row r="188" spans="1:12" x14ac:dyDescent="0.25">
      <c r="A188">
        <v>2026</v>
      </c>
      <c r="B188" s="1" t="s">
        <v>42</v>
      </c>
      <c r="C188" s="1" t="s">
        <v>43</v>
      </c>
      <c r="D188" s="1" t="s">
        <v>35</v>
      </c>
      <c r="E188" s="1" t="s">
        <v>32</v>
      </c>
      <c r="F188" s="1" t="s">
        <v>23</v>
      </c>
      <c r="G188">
        <v>12.04</v>
      </c>
      <c r="H188">
        <v>5.9</v>
      </c>
      <c r="I188">
        <v>1.18</v>
      </c>
      <c r="J188">
        <v>48.2</v>
      </c>
      <c r="K188">
        <v>86.9</v>
      </c>
      <c r="L188">
        <v>60</v>
      </c>
    </row>
    <row r="189" spans="1:12" x14ac:dyDescent="0.25">
      <c r="A189">
        <v>2010</v>
      </c>
      <c r="B189" s="1" t="s">
        <v>44</v>
      </c>
      <c r="C189" s="1" t="s">
        <v>45</v>
      </c>
      <c r="D189" s="1" t="s">
        <v>46</v>
      </c>
      <c r="E189" s="1" t="s">
        <v>32</v>
      </c>
      <c r="F189" s="1" t="s">
        <v>16</v>
      </c>
      <c r="G189">
        <v>5.56</v>
      </c>
      <c r="H189">
        <v>5.9</v>
      </c>
      <c r="I189">
        <v>0.34</v>
      </c>
      <c r="J189">
        <v>8.3000000000000007</v>
      </c>
      <c r="K189">
        <v>81.5</v>
      </c>
      <c r="L189">
        <v>27</v>
      </c>
    </row>
    <row r="190" spans="1:12" x14ac:dyDescent="0.25">
      <c r="A190">
        <v>2011</v>
      </c>
      <c r="B190" s="1" t="s">
        <v>44</v>
      </c>
      <c r="C190" s="1" t="s">
        <v>45</v>
      </c>
      <c r="D190" s="1" t="s">
        <v>46</v>
      </c>
      <c r="E190" s="1" t="s">
        <v>32</v>
      </c>
      <c r="F190" s="1" t="s">
        <v>16</v>
      </c>
      <c r="G190">
        <v>6.68</v>
      </c>
      <c r="H190">
        <v>5.9</v>
      </c>
      <c r="I190">
        <v>0.52</v>
      </c>
      <c r="J190">
        <v>10</v>
      </c>
      <c r="K190">
        <v>82.7</v>
      </c>
      <c r="L190">
        <v>33</v>
      </c>
    </row>
    <row r="191" spans="1:12" x14ac:dyDescent="0.25">
      <c r="A191">
        <v>2012</v>
      </c>
      <c r="B191" s="1" t="s">
        <v>44</v>
      </c>
      <c r="C191" s="1" t="s">
        <v>45</v>
      </c>
      <c r="D191" s="1" t="s">
        <v>46</v>
      </c>
      <c r="E191" s="1" t="s">
        <v>32</v>
      </c>
      <c r="F191" s="1" t="s">
        <v>16</v>
      </c>
      <c r="G191">
        <v>7.35</v>
      </c>
      <c r="H191">
        <v>5.9</v>
      </c>
      <c r="I191">
        <v>0.54</v>
      </c>
      <c r="J191">
        <v>11</v>
      </c>
      <c r="K191">
        <v>83.4</v>
      </c>
      <c r="L191">
        <v>36</v>
      </c>
    </row>
    <row r="192" spans="1:12" x14ac:dyDescent="0.25">
      <c r="A192">
        <v>2013</v>
      </c>
      <c r="B192" s="1" t="s">
        <v>44</v>
      </c>
      <c r="C192" s="1" t="s">
        <v>45</v>
      </c>
      <c r="D192" s="1" t="s">
        <v>46</v>
      </c>
      <c r="E192" s="1" t="s">
        <v>32</v>
      </c>
      <c r="F192" s="1" t="s">
        <v>16</v>
      </c>
      <c r="G192">
        <v>8.14</v>
      </c>
      <c r="H192">
        <v>5.9</v>
      </c>
      <c r="I192">
        <v>0.47</v>
      </c>
      <c r="J192">
        <v>12.2</v>
      </c>
      <c r="K192">
        <v>83.5</v>
      </c>
      <c r="L192">
        <v>40</v>
      </c>
    </row>
    <row r="193" spans="1:12" x14ac:dyDescent="0.25">
      <c r="A193">
        <v>2014</v>
      </c>
      <c r="B193" s="1" t="s">
        <v>44</v>
      </c>
      <c r="C193" s="1" t="s">
        <v>45</v>
      </c>
      <c r="D193" s="1" t="s">
        <v>46</v>
      </c>
      <c r="E193" s="1" t="s">
        <v>32</v>
      </c>
      <c r="F193" s="1" t="s">
        <v>16</v>
      </c>
      <c r="G193">
        <v>9.25</v>
      </c>
      <c r="H193">
        <v>5.9</v>
      </c>
      <c r="I193">
        <v>0.6</v>
      </c>
      <c r="J193">
        <v>13.9</v>
      </c>
      <c r="K193">
        <v>80.099999999999994</v>
      </c>
      <c r="L193">
        <v>46</v>
      </c>
    </row>
    <row r="194" spans="1:12" x14ac:dyDescent="0.25">
      <c r="A194">
        <v>2015</v>
      </c>
      <c r="B194" s="1" t="s">
        <v>44</v>
      </c>
      <c r="C194" s="1" t="s">
        <v>45</v>
      </c>
      <c r="D194" s="1" t="s">
        <v>46</v>
      </c>
      <c r="E194" s="1" t="s">
        <v>32</v>
      </c>
      <c r="F194" s="1" t="s">
        <v>16</v>
      </c>
      <c r="G194">
        <v>10.93</v>
      </c>
      <c r="H194">
        <v>5.9</v>
      </c>
      <c r="I194">
        <v>1</v>
      </c>
      <c r="J194">
        <v>16.399999999999999</v>
      </c>
      <c r="K194">
        <v>82.5</v>
      </c>
      <c r="L194">
        <v>54</v>
      </c>
    </row>
    <row r="195" spans="1:12" x14ac:dyDescent="0.25">
      <c r="A195">
        <v>2016</v>
      </c>
      <c r="B195" s="1" t="s">
        <v>44</v>
      </c>
      <c r="C195" s="1" t="s">
        <v>45</v>
      </c>
      <c r="D195" s="1" t="s">
        <v>46</v>
      </c>
      <c r="E195" s="1" t="s">
        <v>32</v>
      </c>
      <c r="F195" s="1" t="s">
        <v>16</v>
      </c>
      <c r="G195">
        <v>11.42</v>
      </c>
      <c r="H195">
        <v>5.9</v>
      </c>
      <c r="I195">
        <v>0</v>
      </c>
      <c r="J195">
        <v>17.100000000000001</v>
      </c>
      <c r="K195">
        <v>80.7</v>
      </c>
      <c r="L195">
        <v>57</v>
      </c>
    </row>
    <row r="196" spans="1:12" x14ac:dyDescent="0.25">
      <c r="A196">
        <v>2017</v>
      </c>
      <c r="B196" s="1" t="s">
        <v>44</v>
      </c>
      <c r="C196" s="1" t="s">
        <v>45</v>
      </c>
      <c r="D196" s="1" t="s">
        <v>46</v>
      </c>
      <c r="E196" s="1" t="s">
        <v>32</v>
      </c>
      <c r="F196" s="1" t="s">
        <v>16</v>
      </c>
      <c r="G196">
        <v>11.99</v>
      </c>
      <c r="H196">
        <v>5.9</v>
      </c>
      <c r="I196">
        <v>0.4</v>
      </c>
      <c r="J196">
        <v>18</v>
      </c>
      <c r="K196">
        <v>84.4</v>
      </c>
      <c r="L196">
        <v>59</v>
      </c>
    </row>
    <row r="197" spans="1:12" x14ac:dyDescent="0.25">
      <c r="A197">
        <v>2018</v>
      </c>
      <c r="B197" s="1" t="s">
        <v>44</v>
      </c>
      <c r="C197" s="1" t="s">
        <v>45</v>
      </c>
      <c r="D197" s="1" t="s">
        <v>46</v>
      </c>
      <c r="E197" s="1" t="s">
        <v>32</v>
      </c>
      <c r="F197" s="1" t="s">
        <v>16</v>
      </c>
      <c r="G197">
        <v>13.7</v>
      </c>
      <c r="H197">
        <v>5.9</v>
      </c>
      <c r="I197">
        <v>0.42</v>
      </c>
      <c r="J197">
        <v>20.5</v>
      </c>
      <c r="K197">
        <v>81.3</v>
      </c>
      <c r="L197">
        <v>68</v>
      </c>
    </row>
    <row r="198" spans="1:12" x14ac:dyDescent="0.25">
      <c r="A198">
        <v>2019</v>
      </c>
      <c r="B198" s="1" t="s">
        <v>44</v>
      </c>
      <c r="C198" s="1" t="s">
        <v>45</v>
      </c>
      <c r="D198" s="1" t="s">
        <v>46</v>
      </c>
      <c r="E198" s="1" t="s">
        <v>32</v>
      </c>
      <c r="F198" s="1" t="s">
        <v>16</v>
      </c>
      <c r="G198">
        <v>13.29</v>
      </c>
      <c r="H198">
        <v>5.9</v>
      </c>
      <c r="I198">
        <v>1.33</v>
      </c>
      <c r="J198">
        <v>19.899999999999999</v>
      </c>
      <c r="K198">
        <v>80.599999999999994</v>
      </c>
      <c r="L198">
        <v>66</v>
      </c>
    </row>
    <row r="199" spans="1:12" x14ac:dyDescent="0.25">
      <c r="A199">
        <v>2020</v>
      </c>
      <c r="B199" s="1" t="s">
        <v>44</v>
      </c>
      <c r="C199" s="1" t="s">
        <v>45</v>
      </c>
      <c r="D199" s="1" t="s">
        <v>46</v>
      </c>
      <c r="E199" s="1" t="s">
        <v>32</v>
      </c>
      <c r="F199" s="1" t="s">
        <v>16</v>
      </c>
      <c r="G199">
        <v>6.75</v>
      </c>
      <c r="H199">
        <v>5.9</v>
      </c>
      <c r="I199">
        <v>-2.06</v>
      </c>
      <c r="J199">
        <v>10.1</v>
      </c>
      <c r="K199">
        <v>51.7</v>
      </c>
      <c r="L199">
        <v>33</v>
      </c>
    </row>
    <row r="200" spans="1:12" x14ac:dyDescent="0.25">
      <c r="A200">
        <v>2021</v>
      </c>
      <c r="B200" s="1" t="s">
        <v>44</v>
      </c>
      <c r="C200" s="1" t="s">
        <v>45</v>
      </c>
      <c r="D200" s="1" t="s">
        <v>46</v>
      </c>
      <c r="E200" s="1" t="s">
        <v>32</v>
      </c>
      <c r="F200" s="1" t="s">
        <v>16</v>
      </c>
      <c r="G200">
        <v>10.3</v>
      </c>
      <c r="H200">
        <v>5.9</v>
      </c>
      <c r="I200">
        <v>-1.96</v>
      </c>
      <c r="J200">
        <v>15.4</v>
      </c>
      <c r="K200">
        <v>69</v>
      </c>
      <c r="L200">
        <v>51</v>
      </c>
    </row>
    <row r="201" spans="1:12" x14ac:dyDescent="0.25">
      <c r="A201">
        <v>2022</v>
      </c>
      <c r="B201" s="1" t="s">
        <v>44</v>
      </c>
      <c r="C201" s="1" t="s">
        <v>45</v>
      </c>
      <c r="D201" s="1" t="s">
        <v>46</v>
      </c>
      <c r="E201" s="1" t="s">
        <v>32</v>
      </c>
      <c r="F201" s="1" t="s">
        <v>16</v>
      </c>
      <c r="G201">
        <v>18.850000000000001</v>
      </c>
      <c r="H201">
        <v>5.9</v>
      </c>
      <c r="I201">
        <v>0.49</v>
      </c>
      <c r="J201">
        <v>28.3</v>
      </c>
      <c r="K201">
        <v>79.5</v>
      </c>
      <c r="L201">
        <v>94</v>
      </c>
    </row>
    <row r="202" spans="1:12" x14ac:dyDescent="0.25">
      <c r="A202">
        <v>2023</v>
      </c>
      <c r="B202" s="1" t="s">
        <v>44</v>
      </c>
      <c r="C202" s="1" t="s">
        <v>45</v>
      </c>
      <c r="D202" s="1" t="s">
        <v>46</v>
      </c>
      <c r="E202" s="1" t="s">
        <v>32</v>
      </c>
      <c r="F202" s="1" t="s">
        <v>16</v>
      </c>
      <c r="G202">
        <v>21.23</v>
      </c>
      <c r="H202">
        <v>5.9</v>
      </c>
      <c r="I202">
        <v>1.39</v>
      </c>
      <c r="J202">
        <v>31.8</v>
      </c>
      <c r="K202">
        <v>85.5</v>
      </c>
      <c r="L202">
        <v>106</v>
      </c>
    </row>
    <row r="203" spans="1:12" x14ac:dyDescent="0.25">
      <c r="A203">
        <v>2024</v>
      </c>
      <c r="B203" s="1" t="s">
        <v>44</v>
      </c>
      <c r="C203" s="1" t="s">
        <v>45</v>
      </c>
      <c r="D203" s="1" t="s">
        <v>46</v>
      </c>
      <c r="E203" s="1" t="s">
        <v>32</v>
      </c>
      <c r="F203" s="1" t="s">
        <v>16</v>
      </c>
      <c r="G203">
        <v>22.77</v>
      </c>
      <c r="H203">
        <v>5.9</v>
      </c>
      <c r="I203">
        <v>1.46</v>
      </c>
      <c r="J203">
        <v>34.200000000000003</v>
      </c>
      <c r="K203">
        <v>84.1</v>
      </c>
      <c r="L203">
        <v>113</v>
      </c>
    </row>
    <row r="204" spans="1:12" x14ac:dyDescent="0.25">
      <c r="A204">
        <v>2025</v>
      </c>
      <c r="B204" s="1" t="s">
        <v>44</v>
      </c>
      <c r="C204" s="1" t="s">
        <v>45</v>
      </c>
      <c r="D204" s="1" t="s">
        <v>46</v>
      </c>
      <c r="E204" s="1" t="s">
        <v>32</v>
      </c>
      <c r="F204" s="1" t="s">
        <v>16</v>
      </c>
      <c r="G204">
        <v>25.17</v>
      </c>
      <c r="H204">
        <v>5.9</v>
      </c>
      <c r="I204">
        <v>2.2999999999999998</v>
      </c>
      <c r="J204">
        <v>37.799999999999997</v>
      </c>
      <c r="K204">
        <v>79.599999999999994</v>
      </c>
      <c r="L204">
        <v>125</v>
      </c>
    </row>
    <row r="205" spans="1:12" x14ac:dyDescent="0.25">
      <c r="A205">
        <v>2026</v>
      </c>
      <c r="B205" s="1" t="s">
        <v>44</v>
      </c>
      <c r="C205" s="1" t="s">
        <v>45</v>
      </c>
      <c r="D205" s="1" t="s">
        <v>46</v>
      </c>
      <c r="E205" s="1" t="s">
        <v>32</v>
      </c>
      <c r="F205" s="1" t="s">
        <v>16</v>
      </c>
      <c r="G205">
        <v>26.42</v>
      </c>
      <c r="H205">
        <v>5.9</v>
      </c>
      <c r="I205">
        <v>0.9</v>
      </c>
      <c r="J205">
        <v>39.6</v>
      </c>
      <c r="K205">
        <v>83.5</v>
      </c>
      <c r="L205">
        <v>132</v>
      </c>
    </row>
    <row r="206" spans="1:12" x14ac:dyDescent="0.25">
      <c r="A206">
        <v>2010</v>
      </c>
      <c r="B206" s="1" t="s">
        <v>47</v>
      </c>
      <c r="C206" s="1" t="s">
        <v>48</v>
      </c>
      <c r="D206" s="1" t="s">
        <v>49</v>
      </c>
      <c r="E206" s="1" t="s">
        <v>32</v>
      </c>
      <c r="F206" s="1" t="s">
        <v>16</v>
      </c>
      <c r="G206">
        <v>4.5999999999999996</v>
      </c>
      <c r="H206">
        <v>5.9</v>
      </c>
      <c r="I206">
        <v>0.33</v>
      </c>
      <c r="J206">
        <v>6.9</v>
      </c>
      <c r="K206">
        <v>81.400000000000006</v>
      </c>
      <c r="L206">
        <v>22</v>
      </c>
    </row>
    <row r="207" spans="1:12" x14ac:dyDescent="0.25">
      <c r="A207">
        <v>2011</v>
      </c>
      <c r="B207" s="1" t="s">
        <v>47</v>
      </c>
      <c r="C207" s="1" t="s">
        <v>48</v>
      </c>
      <c r="D207" s="1" t="s">
        <v>49</v>
      </c>
      <c r="E207" s="1" t="s">
        <v>32</v>
      </c>
      <c r="F207" s="1" t="s">
        <v>16</v>
      </c>
      <c r="G207">
        <v>4.87</v>
      </c>
      <c r="H207">
        <v>5.9</v>
      </c>
      <c r="I207">
        <v>0.38</v>
      </c>
      <c r="J207">
        <v>7.3</v>
      </c>
      <c r="K207">
        <v>83.5</v>
      </c>
      <c r="L207">
        <v>24</v>
      </c>
    </row>
    <row r="208" spans="1:12" x14ac:dyDescent="0.25">
      <c r="A208">
        <v>2012</v>
      </c>
      <c r="B208" s="1" t="s">
        <v>47</v>
      </c>
      <c r="C208" s="1" t="s">
        <v>48</v>
      </c>
      <c r="D208" s="1" t="s">
        <v>49</v>
      </c>
      <c r="E208" s="1" t="s">
        <v>32</v>
      </c>
      <c r="F208" s="1" t="s">
        <v>16</v>
      </c>
      <c r="G208">
        <v>5.22</v>
      </c>
      <c r="H208">
        <v>5.9</v>
      </c>
      <c r="I208">
        <v>0.5</v>
      </c>
      <c r="J208">
        <v>7.8</v>
      </c>
      <c r="K208">
        <v>82.1</v>
      </c>
      <c r="L208">
        <v>26</v>
      </c>
    </row>
    <row r="209" spans="1:12" x14ac:dyDescent="0.25">
      <c r="A209">
        <v>2013</v>
      </c>
      <c r="B209" s="1" t="s">
        <v>47</v>
      </c>
      <c r="C209" s="1" t="s">
        <v>48</v>
      </c>
      <c r="D209" s="1" t="s">
        <v>49</v>
      </c>
      <c r="E209" s="1" t="s">
        <v>32</v>
      </c>
      <c r="F209" s="1" t="s">
        <v>16</v>
      </c>
      <c r="G209">
        <v>5.59</v>
      </c>
      <c r="H209">
        <v>5.9</v>
      </c>
      <c r="I209">
        <v>0.37</v>
      </c>
      <c r="J209">
        <v>8.4</v>
      </c>
      <c r="K209">
        <v>81.8</v>
      </c>
      <c r="L209">
        <v>27</v>
      </c>
    </row>
    <row r="210" spans="1:12" x14ac:dyDescent="0.25">
      <c r="A210">
        <v>2014</v>
      </c>
      <c r="B210" s="1" t="s">
        <v>47</v>
      </c>
      <c r="C210" s="1" t="s">
        <v>48</v>
      </c>
      <c r="D210" s="1" t="s">
        <v>49</v>
      </c>
      <c r="E210" s="1" t="s">
        <v>32</v>
      </c>
      <c r="F210" s="1" t="s">
        <v>16</v>
      </c>
      <c r="G210">
        <v>5.92</v>
      </c>
      <c r="H210">
        <v>5.9</v>
      </c>
      <c r="I210">
        <v>0.28000000000000003</v>
      </c>
      <c r="J210">
        <v>8.9</v>
      </c>
      <c r="K210">
        <v>82.2</v>
      </c>
      <c r="L210">
        <v>29</v>
      </c>
    </row>
    <row r="211" spans="1:12" x14ac:dyDescent="0.25">
      <c r="A211">
        <v>2015</v>
      </c>
      <c r="B211" s="1" t="s">
        <v>47</v>
      </c>
      <c r="C211" s="1" t="s">
        <v>48</v>
      </c>
      <c r="D211" s="1" t="s">
        <v>49</v>
      </c>
      <c r="E211" s="1" t="s">
        <v>32</v>
      </c>
      <c r="F211" s="1" t="s">
        <v>16</v>
      </c>
      <c r="G211">
        <v>6.35</v>
      </c>
      <c r="H211">
        <v>5.9</v>
      </c>
      <c r="I211">
        <v>0.22</v>
      </c>
      <c r="J211">
        <v>9.5</v>
      </c>
      <c r="K211">
        <v>78.2</v>
      </c>
      <c r="L211">
        <v>31</v>
      </c>
    </row>
    <row r="212" spans="1:12" x14ac:dyDescent="0.25">
      <c r="A212">
        <v>2016</v>
      </c>
      <c r="B212" s="1" t="s">
        <v>47</v>
      </c>
      <c r="C212" s="1" t="s">
        <v>48</v>
      </c>
      <c r="D212" s="1" t="s">
        <v>49</v>
      </c>
      <c r="E212" s="1" t="s">
        <v>32</v>
      </c>
      <c r="F212" s="1" t="s">
        <v>16</v>
      </c>
      <c r="G212">
        <v>7.73</v>
      </c>
      <c r="H212">
        <v>5.9</v>
      </c>
      <c r="I212">
        <v>0.96</v>
      </c>
      <c r="J212">
        <v>11.6</v>
      </c>
      <c r="K212">
        <v>82.2</v>
      </c>
      <c r="L212">
        <v>38</v>
      </c>
    </row>
    <row r="213" spans="1:12" x14ac:dyDescent="0.25">
      <c r="A213">
        <v>2017</v>
      </c>
      <c r="B213" s="1" t="s">
        <v>47</v>
      </c>
      <c r="C213" s="1" t="s">
        <v>48</v>
      </c>
      <c r="D213" s="1" t="s">
        <v>49</v>
      </c>
      <c r="E213" s="1" t="s">
        <v>32</v>
      </c>
      <c r="F213" s="1" t="s">
        <v>16</v>
      </c>
      <c r="G213">
        <v>8.15</v>
      </c>
      <c r="H213">
        <v>5.9</v>
      </c>
      <c r="I213">
        <v>0.43</v>
      </c>
      <c r="J213">
        <v>12.2</v>
      </c>
      <c r="K213">
        <v>82.4</v>
      </c>
      <c r="L213">
        <v>40</v>
      </c>
    </row>
    <row r="214" spans="1:12" x14ac:dyDescent="0.25">
      <c r="A214">
        <v>2018</v>
      </c>
      <c r="B214" s="1" t="s">
        <v>47</v>
      </c>
      <c r="C214" s="1" t="s">
        <v>48</v>
      </c>
      <c r="D214" s="1" t="s">
        <v>49</v>
      </c>
      <c r="E214" s="1" t="s">
        <v>32</v>
      </c>
      <c r="F214" s="1" t="s">
        <v>16</v>
      </c>
      <c r="G214">
        <v>9.84</v>
      </c>
      <c r="H214">
        <v>5.9</v>
      </c>
      <c r="I214">
        <v>0.32</v>
      </c>
      <c r="J214">
        <v>14.8</v>
      </c>
      <c r="K214">
        <v>84.2</v>
      </c>
      <c r="L214">
        <v>49</v>
      </c>
    </row>
    <row r="215" spans="1:12" x14ac:dyDescent="0.25">
      <c r="A215">
        <v>2019</v>
      </c>
      <c r="B215" s="1" t="s">
        <v>47</v>
      </c>
      <c r="C215" s="1" t="s">
        <v>48</v>
      </c>
      <c r="D215" s="1" t="s">
        <v>49</v>
      </c>
      <c r="E215" s="1" t="s">
        <v>32</v>
      </c>
      <c r="F215" s="1" t="s">
        <v>16</v>
      </c>
      <c r="G215">
        <v>10.26</v>
      </c>
      <c r="H215">
        <v>5.9</v>
      </c>
      <c r="I215">
        <v>0.23</v>
      </c>
      <c r="J215">
        <v>15.4</v>
      </c>
      <c r="K215">
        <v>84.4</v>
      </c>
      <c r="L215">
        <v>51</v>
      </c>
    </row>
    <row r="216" spans="1:12" x14ac:dyDescent="0.25">
      <c r="A216">
        <v>2020</v>
      </c>
      <c r="B216" s="1" t="s">
        <v>47</v>
      </c>
      <c r="C216" s="1" t="s">
        <v>48</v>
      </c>
      <c r="D216" s="1" t="s">
        <v>49</v>
      </c>
      <c r="E216" s="1" t="s">
        <v>32</v>
      </c>
      <c r="F216" s="1" t="s">
        <v>16</v>
      </c>
      <c r="G216">
        <v>4.3600000000000003</v>
      </c>
      <c r="H216">
        <v>5.9</v>
      </c>
      <c r="I216">
        <v>-1.51</v>
      </c>
      <c r="J216">
        <v>6.5</v>
      </c>
      <c r="K216">
        <v>54.3</v>
      </c>
      <c r="L216">
        <v>21</v>
      </c>
    </row>
    <row r="217" spans="1:12" x14ac:dyDescent="0.25">
      <c r="A217">
        <v>2021</v>
      </c>
      <c r="B217" s="1" t="s">
        <v>47</v>
      </c>
      <c r="C217" s="1" t="s">
        <v>48</v>
      </c>
      <c r="D217" s="1" t="s">
        <v>49</v>
      </c>
      <c r="E217" s="1" t="s">
        <v>32</v>
      </c>
      <c r="F217" s="1" t="s">
        <v>16</v>
      </c>
      <c r="G217">
        <v>7.67</v>
      </c>
      <c r="H217">
        <v>5.9</v>
      </c>
      <c r="I217">
        <v>-1.26</v>
      </c>
      <c r="J217">
        <v>11.5</v>
      </c>
      <c r="K217">
        <v>66.5</v>
      </c>
      <c r="L217">
        <v>38</v>
      </c>
    </row>
    <row r="218" spans="1:12" x14ac:dyDescent="0.25">
      <c r="A218">
        <v>2022</v>
      </c>
      <c r="B218" s="1" t="s">
        <v>47</v>
      </c>
      <c r="C218" s="1" t="s">
        <v>48</v>
      </c>
      <c r="D218" s="1" t="s">
        <v>49</v>
      </c>
      <c r="E218" s="1" t="s">
        <v>32</v>
      </c>
      <c r="F218" s="1" t="s">
        <v>16</v>
      </c>
      <c r="G218">
        <v>4.22</v>
      </c>
      <c r="H218">
        <v>5.9</v>
      </c>
      <c r="I218">
        <v>-0.25</v>
      </c>
      <c r="J218">
        <v>6.3</v>
      </c>
      <c r="K218">
        <v>86.7</v>
      </c>
      <c r="L218">
        <v>21</v>
      </c>
    </row>
    <row r="219" spans="1:12" x14ac:dyDescent="0.25">
      <c r="A219">
        <v>2023</v>
      </c>
      <c r="B219" s="1" t="s">
        <v>47</v>
      </c>
      <c r="C219" s="1" t="s">
        <v>48</v>
      </c>
      <c r="D219" s="1" t="s">
        <v>49</v>
      </c>
      <c r="E219" s="1" t="s">
        <v>32</v>
      </c>
      <c r="F219" s="1" t="s">
        <v>16</v>
      </c>
      <c r="G219">
        <v>4.9400000000000004</v>
      </c>
      <c r="H219">
        <v>5.9</v>
      </c>
      <c r="I219">
        <v>0.6</v>
      </c>
      <c r="J219">
        <v>7.4</v>
      </c>
      <c r="K219">
        <v>80.8</v>
      </c>
      <c r="L219">
        <v>24</v>
      </c>
    </row>
    <row r="220" spans="1:12" x14ac:dyDescent="0.25">
      <c r="A220">
        <v>2024</v>
      </c>
      <c r="B220" s="1" t="s">
        <v>47</v>
      </c>
      <c r="C220" s="1" t="s">
        <v>48</v>
      </c>
      <c r="D220" s="1" t="s">
        <v>49</v>
      </c>
      <c r="E220" s="1" t="s">
        <v>32</v>
      </c>
      <c r="F220" s="1" t="s">
        <v>16</v>
      </c>
      <c r="G220">
        <v>5.56</v>
      </c>
      <c r="H220">
        <v>5.9</v>
      </c>
      <c r="I220">
        <v>0.49</v>
      </c>
      <c r="J220">
        <v>8.3000000000000007</v>
      </c>
      <c r="K220">
        <v>81.3</v>
      </c>
      <c r="L220">
        <v>27</v>
      </c>
    </row>
    <row r="221" spans="1:12" x14ac:dyDescent="0.25">
      <c r="A221">
        <v>2025</v>
      </c>
      <c r="B221" s="1" t="s">
        <v>47</v>
      </c>
      <c r="C221" s="1" t="s">
        <v>48</v>
      </c>
      <c r="D221" s="1" t="s">
        <v>49</v>
      </c>
      <c r="E221" s="1" t="s">
        <v>32</v>
      </c>
      <c r="F221" s="1" t="s">
        <v>16</v>
      </c>
      <c r="G221">
        <v>5.74</v>
      </c>
      <c r="H221">
        <v>5.9</v>
      </c>
      <c r="I221">
        <v>0.63</v>
      </c>
      <c r="J221">
        <v>8.6</v>
      </c>
      <c r="K221">
        <v>82.4</v>
      </c>
      <c r="L221">
        <v>28</v>
      </c>
    </row>
    <row r="222" spans="1:12" x14ac:dyDescent="0.25">
      <c r="A222">
        <v>2026</v>
      </c>
      <c r="B222" s="1" t="s">
        <v>47</v>
      </c>
      <c r="C222" s="1" t="s">
        <v>48</v>
      </c>
      <c r="D222" s="1" t="s">
        <v>49</v>
      </c>
      <c r="E222" s="1" t="s">
        <v>32</v>
      </c>
      <c r="F222" s="1" t="s">
        <v>16</v>
      </c>
      <c r="G222">
        <v>5.66</v>
      </c>
      <c r="H222">
        <v>5.9</v>
      </c>
      <c r="I222">
        <v>-0.28999999999999998</v>
      </c>
      <c r="J222">
        <v>8.5</v>
      </c>
      <c r="K222">
        <v>81.2</v>
      </c>
      <c r="L222">
        <v>28</v>
      </c>
    </row>
    <row r="223" spans="1:12" x14ac:dyDescent="0.25">
      <c r="A223">
        <v>2010</v>
      </c>
      <c r="B223" s="1" t="s">
        <v>50</v>
      </c>
      <c r="C223" s="1" t="s">
        <v>51</v>
      </c>
      <c r="D223" s="1" t="s">
        <v>52</v>
      </c>
      <c r="E223" s="1" t="s">
        <v>53</v>
      </c>
      <c r="F223" s="1" t="s">
        <v>16</v>
      </c>
      <c r="G223">
        <v>10.89</v>
      </c>
      <c r="H223">
        <v>5.9</v>
      </c>
      <c r="I223">
        <v>0.63</v>
      </c>
      <c r="J223">
        <v>16.3</v>
      </c>
      <c r="K223">
        <v>79.599999999999994</v>
      </c>
      <c r="L223">
        <v>54</v>
      </c>
    </row>
    <row r="224" spans="1:12" x14ac:dyDescent="0.25">
      <c r="A224">
        <v>2011</v>
      </c>
      <c r="B224" s="1" t="s">
        <v>50</v>
      </c>
      <c r="C224" s="1" t="s">
        <v>51</v>
      </c>
      <c r="D224" s="1" t="s">
        <v>52</v>
      </c>
      <c r="E224" s="1" t="s">
        <v>53</v>
      </c>
      <c r="F224" s="1" t="s">
        <v>16</v>
      </c>
      <c r="G224">
        <v>11.64</v>
      </c>
      <c r="H224">
        <v>5.9</v>
      </c>
      <c r="I224">
        <v>0.84</v>
      </c>
      <c r="J224">
        <v>17.5</v>
      </c>
      <c r="K224">
        <v>82</v>
      </c>
      <c r="L224">
        <v>58</v>
      </c>
    </row>
    <row r="225" spans="1:12" x14ac:dyDescent="0.25">
      <c r="A225">
        <v>2012</v>
      </c>
      <c r="B225" s="1" t="s">
        <v>50</v>
      </c>
      <c r="C225" s="1" t="s">
        <v>51</v>
      </c>
      <c r="D225" s="1" t="s">
        <v>52</v>
      </c>
      <c r="E225" s="1" t="s">
        <v>53</v>
      </c>
      <c r="F225" s="1" t="s">
        <v>16</v>
      </c>
      <c r="G225">
        <v>12.44</v>
      </c>
      <c r="H225">
        <v>5.9</v>
      </c>
      <c r="I225">
        <v>0.99</v>
      </c>
      <c r="J225">
        <v>18.7</v>
      </c>
      <c r="K225">
        <v>83.5</v>
      </c>
      <c r="L225">
        <v>62</v>
      </c>
    </row>
    <row r="226" spans="1:12" x14ac:dyDescent="0.25">
      <c r="A226">
        <v>2013</v>
      </c>
      <c r="B226" s="1" t="s">
        <v>50</v>
      </c>
      <c r="C226" s="1" t="s">
        <v>51</v>
      </c>
      <c r="D226" s="1" t="s">
        <v>52</v>
      </c>
      <c r="E226" s="1" t="s">
        <v>53</v>
      </c>
      <c r="F226" s="1" t="s">
        <v>16</v>
      </c>
      <c r="G226">
        <v>14.35</v>
      </c>
      <c r="H226">
        <v>5.9</v>
      </c>
      <c r="I226">
        <v>0.39</v>
      </c>
      <c r="J226">
        <v>21.5</v>
      </c>
      <c r="K226">
        <v>84.7</v>
      </c>
      <c r="L226">
        <v>71</v>
      </c>
    </row>
    <row r="227" spans="1:12" x14ac:dyDescent="0.25">
      <c r="A227">
        <v>2014</v>
      </c>
      <c r="B227" s="1" t="s">
        <v>50</v>
      </c>
      <c r="C227" s="1" t="s">
        <v>51</v>
      </c>
      <c r="D227" s="1" t="s">
        <v>52</v>
      </c>
      <c r="E227" s="1" t="s">
        <v>53</v>
      </c>
      <c r="F227" s="1" t="s">
        <v>16</v>
      </c>
      <c r="G227">
        <v>16.05</v>
      </c>
      <c r="H227">
        <v>5.9</v>
      </c>
      <c r="I227">
        <v>1.92</v>
      </c>
      <c r="J227">
        <v>24.1</v>
      </c>
      <c r="K227">
        <v>83.8</v>
      </c>
      <c r="L227">
        <v>80</v>
      </c>
    </row>
    <row r="228" spans="1:12" x14ac:dyDescent="0.25">
      <c r="A228">
        <v>2015</v>
      </c>
      <c r="B228" s="1" t="s">
        <v>50</v>
      </c>
      <c r="C228" s="1" t="s">
        <v>51</v>
      </c>
      <c r="D228" s="1" t="s">
        <v>52</v>
      </c>
      <c r="E228" s="1" t="s">
        <v>53</v>
      </c>
      <c r="F228" s="1" t="s">
        <v>16</v>
      </c>
      <c r="G228">
        <v>17.3</v>
      </c>
      <c r="H228">
        <v>5.9</v>
      </c>
      <c r="I228">
        <v>0.97</v>
      </c>
      <c r="J228">
        <v>26</v>
      </c>
      <c r="K228">
        <v>84.6</v>
      </c>
      <c r="L228">
        <v>86</v>
      </c>
    </row>
    <row r="229" spans="1:12" x14ac:dyDescent="0.25">
      <c r="A229">
        <v>2016</v>
      </c>
      <c r="B229" s="1" t="s">
        <v>50</v>
      </c>
      <c r="C229" s="1" t="s">
        <v>51</v>
      </c>
      <c r="D229" s="1" t="s">
        <v>52</v>
      </c>
      <c r="E229" s="1" t="s">
        <v>53</v>
      </c>
      <c r="F229" s="1" t="s">
        <v>16</v>
      </c>
      <c r="G229">
        <v>18.88</v>
      </c>
      <c r="H229">
        <v>5.9</v>
      </c>
      <c r="I229">
        <v>1.72</v>
      </c>
      <c r="J229">
        <v>28.3</v>
      </c>
      <c r="K229">
        <v>82</v>
      </c>
      <c r="L229">
        <v>94</v>
      </c>
    </row>
    <row r="230" spans="1:12" x14ac:dyDescent="0.25">
      <c r="A230">
        <v>2017</v>
      </c>
      <c r="B230" s="1" t="s">
        <v>50</v>
      </c>
      <c r="C230" s="1" t="s">
        <v>51</v>
      </c>
      <c r="D230" s="1" t="s">
        <v>52</v>
      </c>
      <c r="E230" s="1" t="s">
        <v>53</v>
      </c>
      <c r="F230" s="1" t="s">
        <v>16</v>
      </c>
      <c r="G230">
        <v>19.71</v>
      </c>
      <c r="H230">
        <v>5.9</v>
      </c>
      <c r="I230">
        <v>0.95</v>
      </c>
      <c r="J230">
        <v>29.6</v>
      </c>
      <c r="K230">
        <v>84.6</v>
      </c>
      <c r="L230">
        <v>98</v>
      </c>
    </row>
    <row r="231" spans="1:12" x14ac:dyDescent="0.25">
      <c r="A231">
        <v>2018</v>
      </c>
      <c r="B231" s="1" t="s">
        <v>50</v>
      </c>
      <c r="C231" s="1" t="s">
        <v>51</v>
      </c>
      <c r="D231" s="1" t="s">
        <v>52</v>
      </c>
      <c r="E231" s="1" t="s">
        <v>53</v>
      </c>
      <c r="F231" s="1" t="s">
        <v>16</v>
      </c>
      <c r="G231">
        <v>22.38</v>
      </c>
      <c r="H231">
        <v>5.9</v>
      </c>
      <c r="I231">
        <v>1.0900000000000001</v>
      </c>
      <c r="J231">
        <v>33.6</v>
      </c>
      <c r="K231">
        <v>82.2</v>
      </c>
      <c r="L231">
        <v>111</v>
      </c>
    </row>
    <row r="232" spans="1:12" x14ac:dyDescent="0.25">
      <c r="A232">
        <v>2019</v>
      </c>
      <c r="B232" s="1" t="s">
        <v>50</v>
      </c>
      <c r="C232" s="1" t="s">
        <v>51</v>
      </c>
      <c r="D232" s="1" t="s">
        <v>52</v>
      </c>
      <c r="E232" s="1" t="s">
        <v>53</v>
      </c>
      <c r="F232" s="1" t="s">
        <v>16</v>
      </c>
      <c r="G232">
        <v>22.21</v>
      </c>
      <c r="H232">
        <v>5.9</v>
      </c>
      <c r="I232">
        <v>1.2</v>
      </c>
      <c r="J232">
        <v>33.299999999999997</v>
      </c>
      <c r="K232">
        <v>84.9</v>
      </c>
      <c r="L232">
        <v>111</v>
      </c>
    </row>
    <row r="233" spans="1:12" x14ac:dyDescent="0.25">
      <c r="A233">
        <v>2020</v>
      </c>
      <c r="B233" s="1" t="s">
        <v>50</v>
      </c>
      <c r="C233" s="1" t="s">
        <v>51</v>
      </c>
      <c r="D233" s="1" t="s">
        <v>52</v>
      </c>
      <c r="E233" s="1" t="s">
        <v>53</v>
      </c>
      <c r="F233" s="1" t="s">
        <v>16</v>
      </c>
      <c r="G233">
        <v>12.15</v>
      </c>
      <c r="H233">
        <v>5.9</v>
      </c>
      <c r="I233">
        <v>-4.5</v>
      </c>
      <c r="J233">
        <v>18.2</v>
      </c>
      <c r="K233">
        <v>53.4</v>
      </c>
      <c r="L233">
        <v>60</v>
      </c>
    </row>
    <row r="234" spans="1:12" x14ac:dyDescent="0.25">
      <c r="A234">
        <v>2021</v>
      </c>
      <c r="B234" s="1" t="s">
        <v>50</v>
      </c>
      <c r="C234" s="1" t="s">
        <v>51</v>
      </c>
      <c r="D234" s="1" t="s">
        <v>52</v>
      </c>
      <c r="E234" s="1" t="s">
        <v>53</v>
      </c>
      <c r="F234" s="1" t="s">
        <v>16</v>
      </c>
      <c r="G234">
        <v>13.06</v>
      </c>
      <c r="H234">
        <v>5.9</v>
      </c>
      <c r="I234">
        <v>-2.67</v>
      </c>
      <c r="J234">
        <v>19.600000000000001</v>
      </c>
      <c r="K234">
        <v>68.2</v>
      </c>
      <c r="L234">
        <v>65</v>
      </c>
    </row>
    <row r="235" spans="1:12" x14ac:dyDescent="0.25">
      <c r="A235">
        <v>2022</v>
      </c>
      <c r="B235" s="1" t="s">
        <v>50</v>
      </c>
      <c r="C235" s="1" t="s">
        <v>51</v>
      </c>
      <c r="D235" s="1" t="s">
        <v>52</v>
      </c>
      <c r="E235" s="1" t="s">
        <v>53</v>
      </c>
      <c r="F235" s="1" t="s">
        <v>16</v>
      </c>
      <c r="G235">
        <v>11.93</v>
      </c>
      <c r="H235">
        <v>5.9</v>
      </c>
      <c r="I235">
        <v>0.56999999999999995</v>
      </c>
      <c r="J235">
        <v>17.899999999999999</v>
      </c>
      <c r="K235">
        <v>82.5</v>
      </c>
      <c r="L235">
        <v>59</v>
      </c>
    </row>
    <row r="236" spans="1:12" x14ac:dyDescent="0.25">
      <c r="A236">
        <v>2023</v>
      </c>
      <c r="B236" s="1" t="s">
        <v>50</v>
      </c>
      <c r="C236" s="1" t="s">
        <v>51</v>
      </c>
      <c r="D236" s="1" t="s">
        <v>52</v>
      </c>
      <c r="E236" s="1" t="s">
        <v>53</v>
      </c>
      <c r="F236" s="1" t="s">
        <v>16</v>
      </c>
      <c r="G236">
        <v>20.85</v>
      </c>
      <c r="H236">
        <v>5.9</v>
      </c>
      <c r="I236">
        <v>1.64</v>
      </c>
      <c r="J236">
        <v>31.3</v>
      </c>
      <c r="K236">
        <v>85.1</v>
      </c>
      <c r="L236">
        <v>104</v>
      </c>
    </row>
    <row r="237" spans="1:12" x14ac:dyDescent="0.25">
      <c r="A237">
        <v>2024</v>
      </c>
      <c r="B237" s="1" t="s">
        <v>50</v>
      </c>
      <c r="C237" s="1" t="s">
        <v>51</v>
      </c>
      <c r="D237" s="1" t="s">
        <v>52</v>
      </c>
      <c r="E237" s="1" t="s">
        <v>53</v>
      </c>
      <c r="F237" s="1" t="s">
        <v>16</v>
      </c>
      <c r="G237">
        <v>23.79</v>
      </c>
      <c r="H237">
        <v>5.9</v>
      </c>
      <c r="I237">
        <v>1.36</v>
      </c>
      <c r="J237">
        <v>35.700000000000003</v>
      </c>
      <c r="K237">
        <v>84.1</v>
      </c>
      <c r="L237">
        <v>118</v>
      </c>
    </row>
    <row r="238" spans="1:12" x14ac:dyDescent="0.25">
      <c r="A238">
        <v>2025</v>
      </c>
      <c r="B238" s="1" t="s">
        <v>50</v>
      </c>
      <c r="C238" s="1" t="s">
        <v>51</v>
      </c>
      <c r="D238" s="1" t="s">
        <v>52</v>
      </c>
      <c r="E238" s="1" t="s">
        <v>53</v>
      </c>
      <c r="F238" s="1" t="s">
        <v>16</v>
      </c>
      <c r="G238">
        <v>26.32</v>
      </c>
      <c r="H238">
        <v>5.9</v>
      </c>
      <c r="I238">
        <v>2.5299999999999998</v>
      </c>
      <c r="J238">
        <v>39.5</v>
      </c>
      <c r="K238">
        <v>83</v>
      </c>
      <c r="L238">
        <v>131</v>
      </c>
    </row>
    <row r="239" spans="1:12" x14ac:dyDescent="0.25">
      <c r="A239">
        <v>2026</v>
      </c>
      <c r="B239" s="1" t="s">
        <v>50</v>
      </c>
      <c r="C239" s="1" t="s">
        <v>51</v>
      </c>
      <c r="D239" s="1" t="s">
        <v>52</v>
      </c>
      <c r="E239" s="1" t="s">
        <v>53</v>
      </c>
      <c r="F239" s="1" t="s">
        <v>16</v>
      </c>
      <c r="G239">
        <v>29.11</v>
      </c>
      <c r="H239">
        <v>5.9</v>
      </c>
      <c r="I239">
        <v>0.99</v>
      </c>
      <c r="J239">
        <v>43.7</v>
      </c>
      <c r="K239">
        <v>83</v>
      </c>
      <c r="L239">
        <v>145</v>
      </c>
    </row>
    <row r="240" spans="1:12" x14ac:dyDescent="0.25">
      <c r="A240">
        <v>2010</v>
      </c>
      <c r="B240" s="1" t="s">
        <v>54</v>
      </c>
      <c r="C240" s="1" t="s">
        <v>55</v>
      </c>
      <c r="D240" s="1" t="s">
        <v>52</v>
      </c>
      <c r="E240" s="1" t="s">
        <v>53</v>
      </c>
      <c r="F240" s="1" t="s">
        <v>16</v>
      </c>
      <c r="G240">
        <v>12.52</v>
      </c>
      <c r="H240">
        <v>5.9</v>
      </c>
      <c r="I240">
        <v>0.37</v>
      </c>
      <c r="J240">
        <v>18.8</v>
      </c>
      <c r="K240">
        <v>79.900000000000006</v>
      </c>
      <c r="L240">
        <v>62</v>
      </c>
    </row>
    <row r="241" spans="1:12" x14ac:dyDescent="0.25">
      <c r="A241">
        <v>2011</v>
      </c>
      <c r="B241" s="1" t="s">
        <v>54</v>
      </c>
      <c r="C241" s="1" t="s">
        <v>55</v>
      </c>
      <c r="D241" s="1" t="s">
        <v>52</v>
      </c>
      <c r="E241" s="1" t="s">
        <v>53</v>
      </c>
      <c r="F241" s="1" t="s">
        <v>16</v>
      </c>
      <c r="G241">
        <v>13.78</v>
      </c>
      <c r="H241">
        <v>5.9</v>
      </c>
      <c r="I241">
        <v>0.71</v>
      </c>
      <c r="J241">
        <v>20.7</v>
      </c>
      <c r="K241">
        <v>81</v>
      </c>
      <c r="L241">
        <v>68</v>
      </c>
    </row>
    <row r="242" spans="1:12" x14ac:dyDescent="0.25">
      <c r="A242">
        <v>2012</v>
      </c>
      <c r="B242" s="1" t="s">
        <v>54</v>
      </c>
      <c r="C242" s="1" t="s">
        <v>55</v>
      </c>
      <c r="D242" s="1" t="s">
        <v>52</v>
      </c>
      <c r="E242" s="1" t="s">
        <v>53</v>
      </c>
      <c r="F242" s="1" t="s">
        <v>16</v>
      </c>
      <c r="G242">
        <v>14.36</v>
      </c>
      <c r="H242">
        <v>5.9</v>
      </c>
      <c r="I242">
        <v>1.27</v>
      </c>
      <c r="J242">
        <v>21.5</v>
      </c>
      <c r="K242">
        <v>78.400000000000006</v>
      </c>
      <c r="L242">
        <v>71</v>
      </c>
    </row>
    <row r="243" spans="1:12" x14ac:dyDescent="0.25">
      <c r="A243">
        <v>2013</v>
      </c>
      <c r="B243" s="1" t="s">
        <v>54</v>
      </c>
      <c r="C243" s="1" t="s">
        <v>55</v>
      </c>
      <c r="D243" s="1" t="s">
        <v>52</v>
      </c>
      <c r="E243" s="1" t="s">
        <v>53</v>
      </c>
      <c r="F243" s="1" t="s">
        <v>16</v>
      </c>
      <c r="G243">
        <v>14.63</v>
      </c>
      <c r="H243">
        <v>5.9</v>
      </c>
      <c r="I243">
        <v>0.54</v>
      </c>
      <c r="J243">
        <v>21.9</v>
      </c>
      <c r="K243">
        <v>85.9</v>
      </c>
      <c r="L243">
        <v>73</v>
      </c>
    </row>
    <row r="244" spans="1:12" x14ac:dyDescent="0.25">
      <c r="A244">
        <v>2014</v>
      </c>
      <c r="B244" s="1" t="s">
        <v>54</v>
      </c>
      <c r="C244" s="1" t="s">
        <v>55</v>
      </c>
      <c r="D244" s="1" t="s">
        <v>52</v>
      </c>
      <c r="E244" s="1" t="s">
        <v>53</v>
      </c>
      <c r="F244" s="1" t="s">
        <v>16</v>
      </c>
      <c r="G244">
        <v>16.34</v>
      </c>
      <c r="H244">
        <v>5.9</v>
      </c>
      <c r="I244">
        <v>1.29</v>
      </c>
      <c r="J244">
        <v>24.5</v>
      </c>
      <c r="K244">
        <v>80.7</v>
      </c>
      <c r="L244">
        <v>81</v>
      </c>
    </row>
    <row r="245" spans="1:12" x14ac:dyDescent="0.25">
      <c r="A245">
        <v>2015</v>
      </c>
      <c r="B245" s="1" t="s">
        <v>54</v>
      </c>
      <c r="C245" s="1" t="s">
        <v>55</v>
      </c>
      <c r="D245" s="1" t="s">
        <v>52</v>
      </c>
      <c r="E245" s="1" t="s">
        <v>53</v>
      </c>
      <c r="F245" s="1" t="s">
        <v>16</v>
      </c>
      <c r="G245">
        <v>16.54</v>
      </c>
      <c r="H245">
        <v>5.9</v>
      </c>
      <c r="I245">
        <v>1.18</v>
      </c>
      <c r="J245">
        <v>24.8</v>
      </c>
      <c r="K245">
        <v>83.1</v>
      </c>
      <c r="L245">
        <v>82</v>
      </c>
    </row>
    <row r="246" spans="1:12" x14ac:dyDescent="0.25">
      <c r="A246">
        <v>2016</v>
      </c>
      <c r="B246" s="1" t="s">
        <v>54</v>
      </c>
      <c r="C246" s="1" t="s">
        <v>55</v>
      </c>
      <c r="D246" s="1" t="s">
        <v>52</v>
      </c>
      <c r="E246" s="1" t="s">
        <v>53</v>
      </c>
      <c r="F246" s="1" t="s">
        <v>16</v>
      </c>
      <c r="G246">
        <v>18.54</v>
      </c>
      <c r="H246">
        <v>5.9</v>
      </c>
      <c r="I246">
        <v>1.03</v>
      </c>
      <c r="J246">
        <v>27.8</v>
      </c>
      <c r="K246">
        <v>83.6</v>
      </c>
      <c r="L246">
        <v>92</v>
      </c>
    </row>
    <row r="247" spans="1:12" x14ac:dyDescent="0.25">
      <c r="A247">
        <v>2017</v>
      </c>
      <c r="B247" s="1" t="s">
        <v>54</v>
      </c>
      <c r="C247" s="1" t="s">
        <v>55</v>
      </c>
      <c r="D247" s="1" t="s">
        <v>52</v>
      </c>
      <c r="E247" s="1" t="s">
        <v>53</v>
      </c>
      <c r="F247" s="1" t="s">
        <v>16</v>
      </c>
      <c r="G247">
        <v>19.46</v>
      </c>
      <c r="H247">
        <v>5.9</v>
      </c>
      <c r="I247">
        <v>1.55</v>
      </c>
      <c r="J247">
        <v>29.2</v>
      </c>
      <c r="K247">
        <v>84.6</v>
      </c>
      <c r="L247">
        <v>97</v>
      </c>
    </row>
    <row r="248" spans="1:12" x14ac:dyDescent="0.25">
      <c r="A248">
        <v>2018</v>
      </c>
      <c r="B248" s="1" t="s">
        <v>54</v>
      </c>
      <c r="C248" s="1" t="s">
        <v>55</v>
      </c>
      <c r="D248" s="1" t="s">
        <v>52</v>
      </c>
      <c r="E248" s="1" t="s">
        <v>53</v>
      </c>
      <c r="F248" s="1" t="s">
        <v>16</v>
      </c>
      <c r="G248">
        <v>19.53</v>
      </c>
      <c r="H248">
        <v>5.9</v>
      </c>
      <c r="I248">
        <v>7.0000000000000007E-2</v>
      </c>
      <c r="J248">
        <v>29.3</v>
      </c>
      <c r="K248">
        <v>85</v>
      </c>
      <c r="L248">
        <v>97</v>
      </c>
    </row>
    <row r="249" spans="1:12" x14ac:dyDescent="0.25">
      <c r="A249">
        <v>2019</v>
      </c>
      <c r="B249" s="1" t="s">
        <v>54</v>
      </c>
      <c r="C249" s="1" t="s">
        <v>55</v>
      </c>
      <c r="D249" s="1" t="s">
        <v>52</v>
      </c>
      <c r="E249" s="1" t="s">
        <v>53</v>
      </c>
      <c r="F249" s="1" t="s">
        <v>16</v>
      </c>
      <c r="G249">
        <v>20.83</v>
      </c>
      <c r="H249">
        <v>5.9</v>
      </c>
      <c r="I249">
        <v>0.72</v>
      </c>
      <c r="J249">
        <v>31.2</v>
      </c>
      <c r="K249">
        <v>79.3</v>
      </c>
      <c r="L249">
        <v>104</v>
      </c>
    </row>
    <row r="250" spans="1:12" x14ac:dyDescent="0.25">
      <c r="A250">
        <v>2020</v>
      </c>
      <c r="B250" s="1" t="s">
        <v>54</v>
      </c>
      <c r="C250" s="1" t="s">
        <v>55</v>
      </c>
      <c r="D250" s="1" t="s">
        <v>52</v>
      </c>
      <c r="E250" s="1" t="s">
        <v>53</v>
      </c>
      <c r="F250" s="1" t="s">
        <v>16</v>
      </c>
      <c r="G250">
        <v>9.0299999999999994</v>
      </c>
      <c r="H250">
        <v>5.9</v>
      </c>
      <c r="I250">
        <v>-2.95</v>
      </c>
      <c r="J250">
        <v>13.5</v>
      </c>
      <c r="K250">
        <v>58.6</v>
      </c>
      <c r="L250">
        <v>45</v>
      </c>
    </row>
    <row r="251" spans="1:12" x14ac:dyDescent="0.25">
      <c r="A251">
        <v>2021</v>
      </c>
      <c r="B251" s="1" t="s">
        <v>54</v>
      </c>
      <c r="C251" s="1" t="s">
        <v>55</v>
      </c>
      <c r="D251" s="1" t="s">
        <v>52</v>
      </c>
      <c r="E251" s="1" t="s">
        <v>53</v>
      </c>
      <c r="F251" s="1" t="s">
        <v>16</v>
      </c>
      <c r="G251">
        <v>10.77</v>
      </c>
      <c r="H251">
        <v>5.9</v>
      </c>
      <c r="I251">
        <v>-2.04</v>
      </c>
      <c r="J251">
        <v>16.100000000000001</v>
      </c>
      <c r="K251">
        <v>68.2</v>
      </c>
      <c r="L251">
        <v>53</v>
      </c>
    </row>
    <row r="252" spans="1:12" x14ac:dyDescent="0.25">
      <c r="A252">
        <v>2022</v>
      </c>
      <c r="B252" s="1" t="s">
        <v>54</v>
      </c>
      <c r="C252" s="1" t="s">
        <v>55</v>
      </c>
      <c r="D252" s="1" t="s">
        <v>52</v>
      </c>
      <c r="E252" s="1" t="s">
        <v>53</v>
      </c>
      <c r="F252" s="1" t="s">
        <v>16</v>
      </c>
      <c r="G252">
        <v>8.6999999999999993</v>
      </c>
      <c r="H252">
        <v>5.9</v>
      </c>
      <c r="I252">
        <v>0.11</v>
      </c>
      <c r="J252">
        <v>13.1</v>
      </c>
      <c r="K252">
        <v>81</v>
      </c>
      <c r="L252">
        <v>43</v>
      </c>
    </row>
    <row r="253" spans="1:12" x14ac:dyDescent="0.25">
      <c r="A253">
        <v>2023</v>
      </c>
      <c r="B253" s="1" t="s">
        <v>54</v>
      </c>
      <c r="C253" s="1" t="s">
        <v>55</v>
      </c>
      <c r="D253" s="1" t="s">
        <v>52</v>
      </c>
      <c r="E253" s="1" t="s">
        <v>53</v>
      </c>
      <c r="F253" s="1" t="s">
        <v>16</v>
      </c>
      <c r="G253">
        <v>20.2</v>
      </c>
      <c r="H253">
        <v>5.9</v>
      </c>
      <c r="I253">
        <v>2.52</v>
      </c>
      <c r="J253">
        <v>30.3</v>
      </c>
      <c r="K253">
        <v>85.3</v>
      </c>
      <c r="L253">
        <v>101</v>
      </c>
    </row>
    <row r="254" spans="1:12" x14ac:dyDescent="0.25">
      <c r="A254">
        <v>2024</v>
      </c>
      <c r="B254" s="1" t="s">
        <v>54</v>
      </c>
      <c r="C254" s="1" t="s">
        <v>55</v>
      </c>
      <c r="D254" s="1" t="s">
        <v>52</v>
      </c>
      <c r="E254" s="1" t="s">
        <v>53</v>
      </c>
      <c r="F254" s="1" t="s">
        <v>16</v>
      </c>
      <c r="G254">
        <v>22.37</v>
      </c>
      <c r="H254">
        <v>5.9</v>
      </c>
      <c r="I254">
        <v>2.27</v>
      </c>
      <c r="J254">
        <v>33.6</v>
      </c>
      <c r="K254">
        <v>84.3</v>
      </c>
      <c r="L254">
        <v>111</v>
      </c>
    </row>
    <row r="255" spans="1:12" x14ac:dyDescent="0.25">
      <c r="A255">
        <v>2025</v>
      </c>
      <c r="B255" s="1" t="s">
        <v>54</v>
      </c>
      <c r="C255" s="1" t="s">
        <v>55</v>
      </c>
      <c r="D255" s="1" t="s">
        <v>52</v>
      </c>
      <c r="E255" s="1" t="s">
        <v>53</v>
      </c>
      <c r="F255" s="1" t="s">
        <v>16</v>
      </c>
      <c r="G255">
        <v>25.33</v>
      </c>
      <c r="H255">
        <v>5.9</v>
      </c>
      <c r="I255">
        <v>2.82</v>
      </c>
      <c r="J255">
        <v>38</v>
      </c>
      <c r="K255">
        <v>84.3</v>
      </c>
      <c r="L255">
        <v>126</v>
      </c>
    </row>
    <row r="256" spans="1:12" x14ac:dyDescent="0.25">
      <c r="A256">
        <v>2026</v>
      </c>
      <c r="B256" s="1" t="s">
        <v>54</v>
      </c>
      <c r="C256" s="1" t="s">
        <v>55</v>
      </c>
      <c r="D256" s="1" t="s">
        <v>52</v>
      </c>
      <c r="E256" s="1" t="s">
        <v>53</v>
      </c>
      <c r="F256" s="1" t="s">
        <v>16</v>
      </c>
      <c r="G256">
        <v>27.61</v>
      </c>
      <c r="H256">
        <v>5.9</v>
      </c>
      <c r="I256">
        <v>2.1</v>
      </c>
      <c r="J256">
        <v>41.4</v>
      </c>
      <c r="K256">
        <v>83.7</v>
      </c>
      <c r="L256">
        <v>138</v>
      </c>
    </row>
    <row r="257" spans="1:12" x14ac:dyDescent="0.25">
      <c r="A257">
        <v>2010</v>
      </c>
      <c r="B257" s="1" t="s">
        <v>56</v>
      </c>
      <c r="C257" s="1" t="s">
        <v>57</v>
      </c>
      <c r="D257" s="1" t="s">
        <v>52</v>
      </c>
      <c r="E257" s="1" t="s">
        <v>53</v>
      </c>
      <c r="F257" s="1" t="s">
        <v>16</v>
      </c>
      <c r="G257">
        <v>10.43</v>
      </c>
      <c r="H257">
        <v>5.9</v>
      </c>
      <c r="I257">
        <v>0.65</v>
      </c>
      <c r="J257">
        <v>15.6</v>
      </c>
      <c r="K257">
        <v>81.900000000000006</v>
      </c>
      <c r="L257">
        <v>52</v>
      </c>
    </row>
    <row r="258" spans="1:12" x14ac:dyDescent="0.25">
      <c r="A258">
        <v>2011</v>
      </c>
      <c r="B258" s="1" t="s">
        <v>56</v>
      </c>
      <c r="C258" s="1" t="s">
        <v>57</v>
      </c>
      <c r="D258" s="1" t="s">
        <v>52</v>
      </c>
      <c r="E258" s="1" t="s">
        <v>53</v>
      </c>
      <c r="F258" s="1" t="s">
        <v>16</v>
      </c>
      <c r="G258">
        <v>11.3</v>
      </c>
      <c r="H258">
        <v>5.9</v>
      </c>
      <c r="I258">
        <v>1.1499999999999999</v>
      </c>
      <c r="J258">
        <v>16.899999999999999</v>
      </c>
      <c r="K258">
        <v>86.5</v>
      </c>
      <c r="L258">
        <v>56</v>
      </c>
    </row>
    <row r="259" spans="1:12" x14ac:dyDescent="0.25">
      <c r="A259">
        <v>2012</v>
      </c>
      <c r="B259" s="1" t="s">
        <v>56</v>
      </c>
      <c r="C259" s="1" t="s">
        <v>57</v>
      </c>
      <c r="D259" s="1" t="s">
        <v>52</v>
      </c>
      <c r="E259" s="1" t="s">
        <v>53</v>
      </c>
      <c r="F259" s="1" t="s">
        <v>16</v>
      </c>
      <c r="G259">
        <v>13</v>
      </c>
      <c r="H259">
        <v>5.9</v>
      </c>
      <c r="I259">
        <v>0.86</v>
      </c>
      <c r="J259">
        <v>19.5</v>
      </c>
      <c r="K259">
        <v>85.7</v>
      </c>
      <c r="L259">
        <v>64</v>
      </c>
    </row>
    <row r="260" spans="1:12" x14ac:dyDescent="0.25">
      <c r="A260">
        <v>2013</v>
      </c>
      <c r="B260" s="1" t="s">
        <v>56</v>
      </c>
      <c r="C260" s="1" t="s">
        <v>57</v>
      </c>
      <c r="D260" s="1" t="s">
        <v>52</v>
      </c>
      <c r="E260" s="1" t="s">
        <v>53</v>
      </c>
      <c r="F260" s="1" t="s">
        <v>16</v>
      </c>
      <c r="G260">
        <v>13.22</v>
      </c>
      <c r="H260">
        <v>5.9</v>
      </c>
      <c r="I260">
        <v>0.86</v>
      </c>
      <c r="J260">
        <v>19.8</v>
      </c>
      <c r="K260">
        <v>80.8</v>
      </c>
      <c r="L260">
        <v>66</v>
      </c>
    </row>
    <row r="261" spans="1:12" x14ac:dyDescent="0.25">
      <c r="A261">
        <v>2014</v>
      </c>
      <c r="B261" s="1" t="s">
        <v>56</v>
      </c>
      <c r="C261" s="1" t="s">
        <v>57</v>
      </c>
      <c r="D261" s="1" t="s">
        <v>52</v>
      </c>
      <c r="E261" s="1" t="s">
        <v>53</v>
      </c>
      <c r="F261" s="1" t="s">
        <v>16</v>
      </c>
      <c r="G261">
        <v>14.13</v>
      </c>
      <c r="H261">
        <v>5.9</v>
      </c>
      <c r="I261">
        <v>0.87</v>
      </c>
      <c r="J261">
        <v>21.2</v>
      </c>
      <c r="K261">
        <v>80.400000000000006</v>
      </c>
      <c r="L261">
        <v>70</v>
      </c>
    </row>
    <row r="262" spans="1:12" x14ac:dyDescent="0.25">
      <c r="A262">
        <v>2015</v>
      </c>
      <c r="B262" s="1" t="s">
        <v>56</v>
      </c>
      <c r="C262" s="1" t="s">
        <v>57</v>
      </c>
      <c r="D262" s="1" t="s">
        <v>52</v>
      </c>
      <c r="E262" s="1" t="s">
        <v>53</v>
      </c>
      <c r="F262" s="1" t="s">
        <v>16</v>
      </c>
      <c r="G262">
        <v>14.68</v>
      </c>
      <c r="H262">
        <v>5.9</v>
      </c>
      <c r="I262">
        <v>0.85</v>
      </c>
      <c r="J262">
        <v>22</v>
      </c>
      <c r="K262">
        <v>86.6</v>
      </c>
      <c r="L262">
        <v>73</v>
      </c>
    </row>
    <row r="263" spans="1:12" x14ac:dyDescent="0.25">
      <c r="A263">
        <v>2016</v>
      </c>
      <c r="B263" s="1" t="s">
        <v>56</v>
      </c>
      <c r="C263" s="1" t="s">
        <v>57</v>
      </c>
      <c r="D263" s="1" t="s">
        <v>52</v>
      </c>
      <c r="E263" s="1" t="s">
        <v>53</v>
      </c>
      <c r="F263" s="1" t="s">
        <v>16</v>
      </c>
      <c r="G263">
        <v>15.96</v>
      </c>
      <c r="H263">
        <v>5.9</v>
      </c>
      <c r="I263">
        <v>0.96</v>
      </c>
      <c r="J263">
        <v>23.9</v>
      </c>
      <c r="K263">
        <v>83.5</v>
      </c>
      <c r="L263">
        <v>79</v>
      </c>
    </row>
    <row r="264" spans="1:12" x14ac:dyDescent="0.25">
      <c r="A264">
        <v>2017</v>
      </c>
      <c r="B264" s="1" t="s">
        <v>56</v>
      </c>
      <c r="C264" s="1" t="s">
        <v>57</v>
      </c>
      <c r="D264" s="1" t="s">
        <v>52</v>
      </c>
      <c r="E264" s="1" t="s">
        <v>53</v>
      </c>
      <c r="F264" s="1" t="s">
        <v>16</v>
      </c>
      <c r="G264">
        <v>16.39</v>
      </c>
      <c r="H264">
        <v>5.9</v>
      </c>
      <c r="I264">
        <v>0.9</v>
      </c>
      <c r="J264">
        <v>24.6</v>
      </c>
      <c r="K264">
        <v>80.8</v>
      </c>
      <c r="L264">
        <v>81</v>
      </c>
    </row>
    <row r="265" spans="1:12" x14ac:dyDescent="0.25">
      <c r="A265">
        <v>2018</v>
      </c>
      <c r="B265" s="1" t="s">
        <v>56</v>
      </c>
      <c r="C265" s="1" t="s">
        <v>57</v>
      </c>
      <c r="D265" s="1" t="s">
        <v>52</v>
      </c>
      <c r="E265" s="1" t="s">
        <v>53</v>
      </c>
      <c r="F265" s="1" t="s">
        <v>16</v>
      </c>
      <c r="G265">
        <v>17.12</v>
      </c>
      <c r="H265">
        <v>5.9</v>
      </c>
      <c r="I265">
        <v>0.71</v>
      </c>
      <c r="J265">
        <v>25.7</v>
      </c>
      <c r="K265">
        <v>80.5</v>
      </c>
      <c r="L265">
        <v>85</v>
      </c>
    </row>
    <row r="266" spans="1:12" x14ac:dyDescent="0.25">
      <c r="A266">
        <v>2019</v>
      </c>
      <c r="B266" s="1" t="s">
        <v>56</v>
      </c>
      <c r="C266" s="1" t="s">
        <v>57</v>
      </c>
      <c r="D266" s="1" t="s">
        <v>52</v>
      </c>
      <c r="E266" s="1" t="s">
        <v>53</v>
      </c>
      <c r="F266" s="1" t="s">
        <v>16</v>
      </c>
      <c r="G266">
        <v>17.77</v>
      </c>
      <c r="H266">
        <v>5.9</v>
      </c>
      <c r="I266">
        <v>1.24</v>
      </c>
      <c r="J266">
        <v>26.7</v>
      </c>
      <c r="K266">
        <v>79.400000000000006</v>
      </c>
      <c r="L266">
        <v>88</v>
      </c>
    </row>
    <row r="267" spans="1:12" x14ac:dyDescent="0.25">
      <c r="A267">
        <v>2020</v>
      </c>
      <c r="B267" s="1" t="s">
        <v>56</v>
      </c>
      <c r="C267" s="1" t="s">
        <v>57</v>
      </c>
      <c r="D267" s="1" t="s">
        <v>52</v>
      </c>
      <c r="E267" s="1" t="s">
        <v>53</v>
      </c>
      <c r="F267" s="1" t="s">
        <v>16</v>
      </c>
      <c r="G267">
        <v>8.57</v>
      </c>
      <c r="H267">
        <v>5.9</v>
      </c>
      <c r="I267">
        <v>-2.79</v>
      </c>
      <c r="J267">
        <v>12.9</v>
      </c>
      <c r="K267">
        <v>57.1</v>
      </c>
      <c r="L267">
        <v>42</v>
      </c>
    </row>
    <row r="268" spans="1:12" x14ac:dyDescent="0.25">
      <c r="A268">
        <v>2021</v>
      </c>
      <c r="B268" s="1" t="s">
        <v>56</v>
      </c>
      <c r="C268" s="1" t="s">
        <v>57</v>
      </c>
      <c r="D268" s="1" t="s">
        <v>52</v>
      </c>
      <c r="E268" s="1" t="s">
        <v>53</v>
      </c>
      <c r="F268" s="1" t="s">
        <v>16</v>
      </c>
      <c r="G268">
        <v>10.31</v>
      </c>
      <c r="H268">
        <v>5.9</v>
      </c>
      <c r="I268">
        <v>-1.85</v>
      </c>
      <c r="J268">
        <v>15.5</v>
      </c>
      <c r="K268">
        <v>68.3</v>
      </c>
      <c r="L268">
        <v>51</v>
      </c>
    </row>
    <row r="269" spans="1:12" x14ac:dyDescent="0.25">
      <c r="A269">
        <v>2022</v>
      </c>
      <c r="B269" s="1" t="s">
        <v>56</v>
      </c>
      <c r="C269" s="1" t="s">
        <v>57</v>
      </c>
      <c r="D269" s="1" t="s">
        <v>52</v>
      </c>
      <c r="E269" s="1" t="s">
        <v>53</v>
      </c>
      <c r="F269" s="1" t="s">
        <v>16</v>
      </c>
      <c r="G269">
        <v>7.16</v>
      </c>
      <c r="H269">
        <v>5.9</v>
      </c>
      <c r="I269">
        <v>0.2</v>
      </c>
      <c r="J269">
        <v>10.7</v>
      </c>
      <c r="K269">
        <v>83.8</v>
      </c>
      <c r="L269">
        <v>35</v>
      </c>
    </row>
    <row r="270" spans="1:12" x14ac:dyDescent="0.25">
      <c r="A270">
        <v>2023</v>
      </c>
      <c r="B270" s="1" t="s">
        <v>56</v>
      </c>
      <c r="C270" s="1" t="s">
        <v>57</v>
      </c>
      <c r="D270" s="1" t="s">
        <v>52</v>
      </c>
      <c r="E270" s="1" t="s">
        <v>53</v>
      </c>
      <c r="F270" s="1" t="s">
        <v>16</v>
      </c>
      <c r="G270">
        <v>17.77</v>
      </c>
      <c r="H270">
        <v>5.9</v>
      </c>
      <c r="I270">
        <v>1.91</v>
      </c>
      <c r="J270">
        <v>26.7</v>
      </c>
      <c r="K270">
        <v>82.7</v>
      </c>
      <c r="L270">
        <v>88</v>
      </c>
    </row>
    <row r="271" spans="1:12" x14ac:dyDescent="0.25">
      <c r="A271">
        <v>2024</v>
      </c>
      <c r="B271" s="1" t="s">
        <v>56</v>
      </c>
      <c r="C271" s="1" t="s">
        <v>57</v>
      </c>
      <c r="D271" s="1" t="s">
        <v>52</v>
      </c>
      <c r="E271" s="1" t="s">
        <v>53</v>
      </c>
      <c r="F271" s="1" t="s">
        <v>16</v>
      </c>
      <c r="G271">
        <v>18.88</v>
      </c>
      <c r="H271">
        <v>5.9</v>
      </c>
      <c r="I271">
        <v>1.36</v>
      </c>
      <c r="J271">
        <v>28.3</v>
      </c>
      <c r="K271">
        <v>83.4</v>
      </c>
      <c r="L271">
        <v>94</v>
      </c>
    </row>
    <row r="272" spans="1:12" x14ac:dyDescent="0.25">
      <c r="A272">
        <v>2025</v>
      </c>
      <c r="B272" s="1" t="s">
        <v>56</v>
      </c>
      <c r="C272" s="1" t="s">
        <v>57</v>
      </c>
      <c r="D272" s="1" t="s">
        <v>52</v>
      </c>
      <c r="E272" s="1" t="s">
        <v>53</v>
      </c>
      <c r="F272" s="1" t="s">
        <v>16</v>
      </c>
      <c r="G272">
        <v>21.17</v>
      </c>
      <c r="H272">
        <v>5.9</v>
      </c>
      <c r="I272">
        <v>1.39</v>
      </c>
      <c r="J272">
        <v>31.8</v>
      </c>
      <c r="K272">
        <v>83.5</v>
      </c>
      <c r="L272">
        <v>105</v>
      </c>
    </row>
    <row r="273" spans="1:12" x14ac:dyDescent="0.25">
      <c r="A273">
        <v>2026</v>
      </c>
      <c r="B273" s="1" t="s">
        <v>56</v>
      </c>
      <c r="C273" s="1" t="s">
        <v>57</v>
      </c>
      <c r="D273" s="1" t="s">
        <v>52</v>
      </c>
      <c r="E273" s="1" t="s">
        <v>53</v>
      </c>
      <c r="F273" s="1" t="s">
        <v>16</v>
      </c>
      <c r="G273">
        <v>22.65</v>
      </c>
      <c r="H273">
        <v>5.9</v>
      </c>
      <c r="I273">
        <v>1</v>
      </c>
      <c r="J273">
        <v>34</v>
      </c>
      <c r="K273">
        <v>83.6</v>
      </c>
      <c r="L273">
        <v>113</v>
      </c>
    </row>
    <row r="274" spans="1:12" x14ac:dyDescent="0.25">
      <c r="A274">
        <v>2010</v>
      </c>
      <c r="B274" s="1" t="s">
        <v>58</v>
      </c>
      <c r="C274" s="1" t="s">
        <v>59</v>
      </c>
      <c r="D274" s="1" t="s">
        <v>60</v>
      </c>
      <c r="E274" s="1" t="s">
        <v>53</v>
      </c>
      <c r="F274" s="1" t="s">
        <v>16</v>
      </c>
      <c r="G274">
        <v>11.86</v>
      </c>
      <c r="H274">
        <v>5.9</v>
      </c>
      <c r="I274">
        <v>0.78</v>
      </c>
      <c r="J274">
        <v>17.8</v>
      </c>
      <c r="K274">
        <v>83.5</v>
      </c>
      <c r="L274">
        <v>59</v>
      </c>
    </row>
    <row r="275" spans="1:12" x14ac:dyDescent="0.25">
      <c r="A275">
        <v>2011</v>
      </c>
      <c r="B275" s="1" t="s">
        <v>58</v>
      </c>
      <c r="C275" s="1" t="s">
        <v>59</v>
      </c>
      <c r="D275" s="1" t="s">
        <v>60</v>
      </c>
      <c r="E275" s="1" t="s">
        <v>53</v>
      </c>
      <c r="F275" s="1" t="s">
        <v>16</v>
      </c>
      <c r="G275">
        <v>11.52</v>
      </c>
      <c r="H275">
        <v>5.9</v>
      </c>
      <c r="I275">
        <v>0.55000000000000004</v>
      </c>
      <c r="J275">
        <v>17.3</v>
      </c>
      <c r="K275">
        <v>85.9</v>
      </c>
      <c r="L275">
        <v>57</v>
      </c>
    </row>
    <row r="276" spans="1:12" x14ac:dyDescent="0.25">
      <c r="A276">
        <v>2012</v>
      </c>
      <c r="B276" s="1" t="s">
        <v>58</v>
      </c>
      <c r="C276" s="1" t="s">
        <v>59</v>
      </c>
      <c r="D276" s="1" t="s">
        <v>60</v>
      </c>
      <c r="E276" s="1" t="s">
        <v>53</v>
      </c>
      <c r="F276" s="1" t="s">
        <v>16</v>
      </c>
      <c r="G276">
        <v>11.43</v>
      </c>
      <c r="H276">
        <v>5.9</v>
      </c>
      <c r="I276">
        <v>0.08</v>
      </c>
      <c r="J276">
        <v>17.2</v>
      </c>
      <c r="K276">
        <v>79.3</v>
      </c>
      <c r="L276">
        <v>57</v>
      </c>
    </row>
    <row r="277" spans="1:12" x14ac:dyDescent="0.25">
      <c r="A277">
        <v>2013</v>
      </c>
      <c r="B277" s="1" t="s">
        <v>58</v>
      </c>
      <c r="C277" s="1" t="s">
        <v>59</v>
      </c>
      <c r="D277" s="1" t="s">
        <v>60</v>
      </c>
      <c r="E277" s="1" t="s">
        <v>53</v>
      </c>
      <c r="F277" s="1" t="s">
        <v>16</v>
      </c>
      <c r="G277">
        <v>11.77</v>
      </c>
      <c r="H277">
        <v>5.9</v>
      </c>
      <c r="I277">
        <v>0.72</v>
      </c>
      <c r="J277">
        <v>17.7</v>
      </c>
      <c r="K277">
        <v>82.8</v>
      </c>
      <c r="L277">
        <v>58</v>
      </c>
    </row>
    <row r="278" spans="1:12" x14ac:dyDescent="0.25">
      <c r="A278">
        <v>2014</v>
      </c>
      <c r="B278" s="1" t="s">
        <v>58</v>
      </c>
      <c r="C278" s="1" t="s">
        <v>59</v>
      </c>
      <c r="D278" s="1" t="s">
        <v>60</v>
      </c>
      <c r="E278" s="1" t="s">
        <v>53</v>
      </c>
      <c r="F278" s="1" t="s">
        <v>16</v>
      </c>
      <c r="G278">
        <v>12.11</v>
      </c>
      <c r="H278">
        <v>5.9</v>
      </c>
      <c r="I278">
        <v>-0.08</v>
      </c>
      <c r="J278">
        <v>18.2</v>
      </c>
      <c r="K278">
        <v>83.8</v>
      </c>
      <c r="L278">
        <v>60</v>
      </c>
    </row>
    <row r="279" spans="1:12" x14ac:dyDescent="0.25">
      <c r="A279">
        <v>2015</v>
      </c>
      <c r="B279" s="1" t="s">
        <v>58</v>
      </c>
      <c r="C279" s="1" t="s">
        <v>59</v>
      </c>
      <c r="D279" s="1" t="s">
        <v>60</v>
      </c>
      <c r="E279" s="1" t="s">
        <v>53</v>
      </c>
      <c r="F279" s="1" t="s">
        <v>16</v>
      </c>
      <c r="G279">
        <v>12.16</v>
      </c>
      <c r="H279">
        <v>5.9</v>
      </c>
      <c r="I279">
        <v>0.39</v>
      </c>
      <c r="J279">
        <v>18.2</v>
      </c>
      <c r="K279">
        <v>82.2</v>
      </c>
      <c r="L279">
        <v>60</v>
      </c>
    </row>
    <row r="280" spans="1:12" x14ac:dyDescent="0.25">
      <c r="A280">
        <v>2016</v>
      </c>
      <c r="B280" s="1" t="s">
        <v>58</v>
      </c>
      <c r="C280" s="1" t="s">
        <v>59</v>
      </c>
      <c r="D280" s="1" t="s">
        <v>60</v>
      </c>
      <c r="E280" s="1" t="s">
        <v>53</v>
      </c>
      <c r="F280" s="1" t="s">
        <v>16</v>
      </c>
      <c r="G280">
        <v>11.8</v>
      </c>
      <c r="H280">
        <v>5.9</v>
      </c>
      <c r="I280">
        <v>0.44</v>
      </c>
      <c r="J280">
        <v>17.7</v>
      </c>
      <c r="K280">
        <v>82.3</v>
      </c>
      <c r="L280">
        <v>58</v>
      </c>
    </row>
    <row r="281" spans="1:12" x14ac:dyDescent="0.25">
      <c r="A281">
        <v>2017</v>
      </c>
      <c r="B281" s="1" t="s">
        <v>58</v>
      </c>
      <c r="C281" s="1" t="s">
        <v>59</v>
      </c>
      <c r="D281" s="1" t="s">
        <v>60</v>
      </c>
      <c r="E281" s="1" t="s">
        <v>53</v>
      </c>
      <c r="F281" s="1" t="s">
        <v>16</v>
      </c>
      <c r="G281">
        <v>13.08</v>
      </c>
      <c r="H281">
        <v>5.9</v>
      </c>
      <c r="I281">
        <v>1.39</v>
      </c>
      <c r="J281">
        <v>19.600000000000001</v>
      </c>
      <c r="K281">
        <v>82.3</v>
      </c>
      <c r="L281">
        <v>65</v>
      </c>
    </row>
    <row r="282" spans="1:12" x14ac:dyDescent="0.25">
      <c r="A282">
        <v>2018</v>
      </c>
      <c r="B282" s="1" t="s">
        <v>58</v>
      </c>
      <c r="C282" s="1" t="s">
        <v>59</v>
      </c>
      <c r="D282" s="1" t="s">
        <v>60</v>
      </c>
      <c r="E282" s="1" t="s">
        <v>53</v>
      </c>
      <c r="F282" s="1" t="s">
        <v>16</v>
      </c>
      <c r="G282">
        <v>13.76</v>
      </c>
      <c r="H282">
        <v>5.9</v>
      </c>
      <c r="I282">
        <v>0.84</v>
      </c>
      <c r="J282">
        <v>20.6</v>
      </c>
      <c r="K282">
        <v>86.5</v>
      </c>
      <c r="L282">
        <v>68</v>
      </c>
    </row>
    <row r="283" spans="1:12" x14ac:dyDescent="0.25">
      <c r="A283">
        <v>2019</v>
      </c>
      <c r="B283" s="1" t="s">
        <v>58</v>
      </c>
      <c r="C283" s="1" t="s">
        <v>59</v>
      </c>
      <c r="D283" s="1" t="s">
        <v>60</v>
      </c>
      <c r="E283" s="1" t="s">
        <v>53</v>
      </c>
      <c r="F283" s="1" t="s">
        <v>16</v>
      </c>
      <c r="G283">
        <v>13.66</v>
      </c>
      <c r="H283">
        <v>5.9</v>
      </c>
      <c r="I283">
        <v>0.86</v>
      </c>
      <c r="J283">
        <v>20.5</v>
      </c>
      <c r="K283">
        <v>83.7</v>
      </c>
      <c r="L283">
        <v>68</v>
      </c>
    </row>
    <row r="284" spans="1:12" x14ac:dyDescent="0.25">
      <c r="A284">
        <v>2020</v>
      </c>
      <c r="B284" s="1" t="s">
        <v>58</v>
      </c>
      <c r="C284" s="1" t="s">
        <v>59</v>
      </c>
      <c r="D284" s="1" t="s">
        <v>60</v>
      </c>
      <c r="E284" s="1" t="s">
        <v>53</v>
      </c>
      <c r="F284" s="1" t="s">
        <v>16</v>
      </c>
      <c r="G284">
        <v>4.84</v>
      </c>
      <c r="H284">
        <v>5.9</v>
      </c>
      <c r="I284">
        <v>-1.59</v>
      </c>
      <c r="J284">
        <v>7.3</v>
      </c>
      <c r="K284">
        <v>53.6</v>
      </c>
      <c r="L284">
        <v>24</v>
      </c>
    </row>
    <row r="285" spans="1:12" x14ac:dyDescent="0.25">
      <c r="A285">
        <v>2021</v>
      </c>
      <c r="B285" s="1" t="s">
        <v>58</v>
      </c>
      <c r="C285" s="1" t="s">
        <v>59</v>
      </c>
      <c r="D285" s="1" t="s">
        <v>60</v>
      </c>
      <c r="E285" s="1" t="s">
        <v>53</v>
      </c>
      <c r="F285" s="1" t="s">
        <v>16</v>
      </c>
      <c r="G285">
        <v>6.28</v>
      </c>
      <c r="H285">
        <v>5.9</v>
      </c>
      <c r="I285">
        <v>-1.19</v>
      </c>
      <c r="J285">
        <v>9.4</v>
      </c>
      <c r="K285">
        <v>69</v>
      </c>
      <c r="L285">
        <v>31</v>
      </c>
    </row>
    <row r="286" spans="1:12" x14ac:dyDescent="0.25">
      <c r="A286">
        <v>2022</v>
      </c>
      <c r="B286" s="1" t="s">
        <v>58</v>
      </c>
      <c r="C286" s="1" t="s">
        <v>59</v>
      </c>
      <c r="D286" s="1" t="s">
        <v>60</v>
      </c>
      <c r="E286" s="1" t="s">
        <v>53</v>
      </c>
      <c r="F286" s="1" t="s">
        <v>16</v>
      </c>
      <c r="G286">
        <v>10.69</v>
      </c>
      <c r="H286">
        <v>5.9</v>
      </c>
      <c r="I286">
        <v>0.22</v>
      </c>
      <c r="J286">
        <v>16</v>
      </c>
      <c r="K286">
        <v>83.6</v>
      </c>
      <c r="L286">
        <v>53</v>
      </c>
    </row>
    <row r="287" spans="1:12" x14ac:dyDescent="0.25">
      <c r="A287">
        <v>2023</v>
      </c>
      <c r="B287" s="1" t="s">
        <v>58</v>
      </c>
      <c r="C287" s="1" t="s">
        <v>59</v>
      </c>
      <c r="D287" s="1" t="s">
        <v>60</v>
      </c>
      <c r="E287" s="1" t="s">
        <v>53</v>
      </c>
      <c r="F287" s="1" t="s">
        <v>16</v>
      </c>
      <c r="G287">
        <v>12.41</v>
      </c>
      <c r="H287">
        <v>5.9</v>
      </c>
      <c r="I287">
        <v>1.1000000000000001</v>
      </c>
      <c r="J287">
        <v>18.600000000000001</v>
      </c>
      <c r="K287">
        <v>83.8</v>
      </c>
      <c r="L287">
        <v>62</v>
      </c>
    </row>
    <row r="288" spans="1:12" x14ac:dyDescent="0.25">
      <c r="A288">
        <v>2024</v>
      </c>
      <c r="B288" s="1" t="s">
        <v>58</v>
      </c>
      <c r="C288" s="1" t="s">
        <v>59</v>
      </c>
      <c r="D288" s="1" t="s">
        <v>60</v>
      </c>
      <c r="E288" s="1" t="s">
        <v>53</v>
      </c>
      <c r="F288" s="1" t="s">
        <v>16</v>
      </c>
      <c r="G288">
        <v>12.27</v>
      </c>
      <c r="H288">
        <v>5.9</v>
      </c>
      <c r="I288">
        <v>1.19</v>
      </c>
      <c r="J288">
        <v>18.399999999999999</v>
      </c>
      <c r="K288">
        <v>81</v>
      </c>
      <c r="L288">
        <v>61</v>
      </c>
    </row>
    <row r="289" spans="1:12" x14ac:dyDescent="0.25">
      <c r="A289">
        <v>2025</v>
      </c>
      <c r="B289" s="1" t="s">
        <v>58</v>
      </c>
      <c r="C289" s="1" t="s">
        <v>59</v>
      </c>
      <c r="D289" s="1" t="s">
        <v>60</v>
      </c>
      <c r="E289" s="1" t="s">
        <v>53</v>
      </c>
      <c r="F289" s="1" t="s">
        <v>16</v>
      </c>
      <c r="G289">
        <v>13.17</v>
      </c>
      <c r="H289">
        <v>5.9</v>
      </c>
      <c r="I289">
        <v>1.03</v>
      </c>
      <c r="J289">
        <v>19.8</v>
      </c>
      <c r="K289">
        <v>83.2</v>
      </c>
      <c r="L289">
        <v>65</v>
      </c>
    </row>
    <row r="290" spans="1:12" x14ac:dyDescent="0.25">
      <c r="A290">
        <v>2026</v>
      </c>
      <c r="B290" s="1" t="s">
        <v>58</v>
      </c>
      <c r="C290" s="1" t="s">
        <v>59</v>
      </c>
      <c r="D290" s="1" t="s">
        <v>60</v>
      </c>
      <c r="E290" s="1" t="s">
        <v>53</v>
      </c>
      <c r="F290" s="1" t="s">
        <v>16</v>
      </c>
      <c r="G290">
        <v>14.2</v>
      </c>
      <c r="H290">
        <v>5.9</v>
      </c>
      <c r="I290">
        <v>1.1499999999999999</v>
      </c>
      <c r="J290">
        <v>21.3</v>
      </c>
      <c r="K290">
        <v>80.3</v>
      </c>
      <c r="L290">
        <v>71</v>
      </c>
    </row>
    <row r="291" spans="1:12" x14ac:dyDescent="0.25">
      <c r="A291">
        <v>2010</v>
      </c>
      <c r="B291" s="1" t="s">
        <v>61</v>
      </c>
      <c r="C291" s="1" t="s">
        <v>62</v>
      </c>
      <c r="D291" s="1" t="s">
        <v>60</v>
      </c>
      <c r="E291" s="1" t="s">
        <v>53</v>
      </c>
      <c r="F291" s="1" t="s">
        <v>16</v>
      </c>
      <c r="G291">
        <v>13.83</v>
      </c>
      <c r="H291">
        <v>5.9</v>
      </c>
      <c r="I291">
        <v>0.63</v>
      </c>
      <c r="J291">
        <v>20.7</v>
      </c>
      <c r="K291">
        <v>82.9</v>
      </c>
      <c r="L291">
        <v>69</v>
      </c>
    </row>
    <row r="292" spans="1:12" x14ac:dyDescent="0.25">
      <c r="A292">
        <v>2011</v>
      </c>
      <c r="B292" s="1" t="s">
        <v>61</v>
      </c>
      <c r="C292" s="1" t="s">
        <v>62</v>
      </c>
      <c r="D292" s="1" t="s">
        <v>60</v>
      </c>
      <c r="E292" s="1" t="s">
        <v>53</v>
      </c>
      <c r="F292" s="1" t="s">
        <v>16</v>
      </c>
      <c r="G292">
        <v>14.56</v>
      </c>
      <c r="H292">
        <v>5.9</v>
      </c>
      <c r="I292">
        <v>0.51</v>
      </c>
      <c r="J292">
        <v>21.8</v>
      </c>
      <c r="K292">
        <v>84.4</v>
      </c>
      <c r="L292">
        <v>72</v>
      </c>
    </row>
    <row r="293" spans="1:12" x14ac:dyDescent="0.25">
      <c r="A293">
        <v>2012</v>
      </c>
      <c r="B293" s="1" t="s">
        <v>61</v>
      </c>
      <c r="C293" s="1" t="s">
        <v>62</v>
      </c>
      <c r="D293" s="1" t="s">
        <v>60</v>
      </c>
      <c r="E293" s="1" t="s">
        <v>53</v>
      </c>
      <c r="F293" s="1" t="s">
        <v>16</v>
      </c>
      <c r="G293">
        <v>14.91</v>
      </c>
      <c r="H293">
        <v>5.9</v>
      </c>
      <c r="I293">
        <v>0.19</v>
      </c>
      <c r="J293">
        <v>22.4</v>
      </c>
      <c r="K293">
        <v>79.099999999999994</v>
      </c>
      <c r="L293">
        <v>74</v>
      </c>
    </row>
    <row r="294" spans="1:12" x14ac:dyDescent="0.25">
      <c r="A294">
        <v>2013</v>
      </c>
      <c r="B294" s="1" t="s">
        <v>61</v>
      </c>
      <c r="C294" s="1" t="s">
        <v>62</v>
      </c>
      <c r="D294" s="1" t="s">
        <v>60</v>
      </c>
      <c r="E294" s="1" t="s">
        <v>53</v>
      </c>
      <c r="F294" s="1" t="s">
        <v>16</v>
      </c>
      <c r="G294">
        <v>15.31</v>
      </c>
      <c r="H294">
        <v>5.9</v>
      </c>
      <c r="I294">
        <v>0.83</v>
      </c>
      <c r="J294">
        <v>23</v>
      </c>
      <c r="K294">
        <v>82.8</v>
      </c>
      <c r="L294">
        <v>76</v>
      </c>
    </row>
    <row r="295" spans="1:12" x14ac:dyDescent="0.25">
      <c r="A295">
        <v>2014</v>
      </c>
      <c r="B295" s="1" t="s">
        <v>61</v>
      </c>
      <c r="C295" s="1" t="s">
        <v>62</v>
      </c>
      <c r="D295" s="1" t="s">
        <v>60</v>
      </c>
      <c r="E295" s="1" t="s">
        <v>53</v>
      </c>
      <c r="F295" s="1" t="s">
        <v>16</v>
      </c>
      <c r="G295">
        <v>15.75</v>
      </c>
      <c r="H295">
        <v>5.9</v>
      </c>
      <c r="I295">
        <v>1.03</v>
      </c>
      <c r="J295">
        <v>23.6</v>
      </c>
      <c r="K295">
        <v>84.9</v>
      </c>
      <c r="L295">
        <v>78</v>
      </c>
    </row>
    <row r="296" spans="1:12" x14ac:dyDescent="0.25">
      <c r="A296">
        <v>2015</v>
      </c>
      <c r="B296" s="1" t="s">
        <v>61</v>
      </c>
      <c r="C296" s="1" t="s">
        <v>62</v>
      </c>
      <c r="D296" s="1" t="s">
        <v>60</v>
      </c>
      <c r="E296" s="1" t="s">
        <v>53</v>
      </c>
      <c r="F296" s="1" t="s">
        <v>16</v>
      </c>
      <c r="G296">
        <v>15.67</v>
      </c>
      <c r="H296">
        <v>5.9</v>
      </c>
      <c r="I296">
        <v>0.48</v>
      </c>
      <c r="J296">
        <v>23.5</v>
      </c>
      <c r="K296">
        <v>80.8</v>
      </c>
      <c r="L296">
        <v>78</v>
      </c>
    </row>
    <row r="297" spans="1:12" x14ac:dyDescent="0.25">
      <c r="A297">
        <v>2016</v>
      </c>
      <c r="B297" s="1" t="s">
        <v>61</v>
      </c>
      <c r="C297" s="1" t="s">
        <v>62</v>
      </c>
      <c r="D297" s="1" t="s">
        <v>60</v>
      </c>
      <c r="E297" s="1" t="s">
        <v>53</v>
      </c>
      <c r="F297" s="1" t="s">
        <v>16</v>
      </c>
      <c r="G297">
        <v>17.010000000000002</v>
      </c>
      <c r="H297">
        <v>5.9</v>
      </c>
      <c r="I297">
        <v>1.55</v>
      </c>
      <c r="J297">
        <v>25.5</v>
      </c>
      <c r="K297">
        <v>82.1</v>
      </c>
      <c r="L297">
        <v>85</v>
      </c>
    </row>
    <row r="298" spans="1:12" x14ac:dyDescent="0.25">
      <c r="A298">
        <v>2017</v>
      </c>
      <c r="B298" s="1" t="s">
        <v>61</v>
      </c>
      <c r="C298" s="1" t="s">
        <v>62</v>
      </c>
      <c r="D298" s="1" t="s">
        <v>60</v>
      </c>
      <c r="E298" s="1" t="s">
        <v>53</v>
      </c>
      <c r="F298" s="1" t="s">
        <v>16</v>
      </c>
      <c r="G298">
        <v>16.27</v>
      </c>
      <c r="H298">
        <v>5.9</v>
      </c>
      <c r="I298">
        <v>0.28000000000000003</v>
      </c>
      <c r="J298">
        <v>24.4</v>
      </c>
      <c r="K298">
        <v>81.3</v>
      </c>
      <c r="L298">
        <v>81</v>
      </c>
    </row>
    <row r="299" spans="1:12" x14ac:dyDescent="0.25">
      <c r="A299">
        <v>2018</v>
      </c>
      <c r="B299" s="1" t="s">
        <v>61</v>
      </c>
      <c r="C299" s="1" t="s">
        <v>62</v>
      </c>
      <c r="D299" s="1" t="s">
        <v>60</v>
      </c>
      <c r="E299" s="1" t="s">
        <v>53</v>
      </c>
      <c r="F299" s="1" t="s">
        <v>16</v>
      </c>
      <c r="G299">
        <v>17.899999999999999</v>
      </c>
      <c r="H299">
        <v>5.9</v>
      </c>
      <c r="I299">
        <v>0.89</v>
      </c>
      <c r="J299">
        <v>26.8</v>
      </c>
      <c r="K299">
        <v>83.1</v>
      </c>
      <c r="L299">
        <v>89</v>
      </c>
    </row>
    <row r="300" spans="1:12" x14ac:dyDescent="0.25">
      <c r="A300">
        <v>2019</v>
      </c>
      <c r="B300" s="1" t="s">
        <v>61</v>
      </c>
      <c r="C300" s="1" t="s">
        <v>62</v>
      </c>
      <c r="D300" s="1" t="s">
        <v>60</v>
      </c>
      <c r="E300" s="1" t="s">
        <v>53</v>
      </c>
      <c r="F300" s="1" t="s">
        <v>16</v>
      </c>
      <c r="G300">
        <v>18.72</v>
      </c>
      <c r="H300">
        <v>5.9</v>
      </c>
      <c r="I300">
        <v>1.61</v>
      </c>
      <c r="J300">
        <v>28.1</v>
      </c>
      <c r="K300">
        <v>81.599999999999994</v>
      </c>
      <c r="L300">
        <v>93</v>
      </c>
    </row>
    <row r="301" spans="1:12" x14ac:dyDescent="0.25">
      <c r="A301">
        <v>2020</v>
      </c>
      <c r="B301" s="1" t="s">
        <v>61</v>
      </c>
      <c r="C301" s="1" t="s">
        <v>62</v>
      </c>
      <c r="D301" s="1" t="s">
        <v>60</v>
      </c>
      <c r="E301" s="1" t="s">
        <v>53</v>
      </c>
      <c r="F301" s="1" t="s">
        <v>16</v>
      </c>
      <c r="G301">
        <v>6.53</v>
      </c>
      <c r="H301">
        <v>5.9</v>
      </c>
      <c r="I301">
        <v>-2.21</v>
      </c>
      <c r="J301">
        <v>9.8000000000000007</v>
      </c>
      <c r="K301">
        <v>51.9</v>
      </c>
      <c r="L301">
        <v>32</v>
      </c>
    </row>
    <row r="302" spans="1:12" x14ac:dyDescent="0.25">
      <c r="A302">
        <v>2021</v>
      </c>
      <c r="B302" s="1" t="s">
        <v>61</v>
      </c>
      <c r="C302" s="1" t="s">
        <v>62</v>
      </c>
      <c r="D302" s="1" t="s">
        <v>60</v>
      </c>
      <c r="E302" s="1" t="s">
        <v>53</v>
      </c>
      <c r="F302" s="1" t="s">
        <v>16</v>
      </c>
      <c r="G302">
        <v>9.41</v>
      </c>
      <c r="H302">
        <v>5.9</v>
      </c>
      <c r="I302">
        <v>-1.67</v>
      </c>
      <c r="J302">
        <v>14.1</v>
      </c>
      <c r="K302">
        <v>69.7</v>
      </c>
      <c r="L302">
        <v>47</v>
      </c>
    </row>
    <row r="303" spans="1:12" x14ac:dyDescent="0.25">
      <c r="A303">
        <v>2022</v>
      </c>
      <c r="B303" s="1" t="s">
        <v>61</v>
      </c>
      <c r="C303" s="1" t="s">
        <v>62</v>
      </c>
      <c r="D303" s="1" t="s">
        <v>60</v>
      </c>
      <c r="E303" s="1" t="s">
        <v>53</v>
      </c>
      <c r="F303" s="1" t="s">
        <v>16</v>
      </c>
      <c r="G303">
        <v>15.73</v>
      </c>
      <c r="H303">
        <v>5.9</v>
      </c>
      <c r="I303">
        <v>7.0000000000000007E-2</v>
      </c>
      <c r="J303">
        <v>23.6</v>
      </c>
      <c r="K303">
        <v>87.1</v>
      </c>
      <c r="L303">
        <v>78</v>
      </c>
    </row>
    <row r="304" spans="1:12" x14ac:dyDescent="0.25">
      <c r="A304">
        <v>2023</v>
      </c>
      <c r="B304" s="1" t="s">
        <v>61</v>
      </c>
      <c r="C304" s="1" t="s">
        <v>62</v>
      </c>
      <c r="D304" s="1" t="s">
        <v>60</v>
      </c>
      <c r="E304" s="1" t="s">
        <v>53</v>
      </c>
      <c r="F304" s="1" t="s">
        <v>16</v>
      </c>
      <c r="G304">
        <v>16.59</v>
      </c>
      <c r="H304">
        <v>5.9</v>
      </c>
      <c r="I304">
        <v>0.8</v>
      </c>
      <c r="J304">
        <v>24.9</v>
      </c>
      <c r="K304">
        <v>83.1</v>
      </c>
      <c r="L304">
        <v>82</v>
      </c>
    </row>
    <row r="305" spans="1:12" x14ac:dyDescent="0.25">
      <c r="A305">
        <v>2024</v>
      </c>
      <c r="B305" s="1" t="s">
        <v>61</v>
      </c>
      <c r="C305" s="1" t="s">
        <v>62</v>
      </c>
      <c r="D305" s="1" t="s">
        <v>60</v>
      </c>
      <c r="E305" s="1" t="s">
        <v>53</v>
      </c>
      <c r="F305" s="1" t="s">
        <v>16</v>
      </c>
      <c r="G305">
        <v>16.940000000000001</v>
      </c>
      <c r="H305">
        <v>5.9</v>
      </c>
      <c r="I305">
        <v>1.04</v>
      </c>
      <c r="J305">
        <v>25.4</v>
      </c>
      <c r="K305">
        <v>83.8</v>
      </c>
      <c r="L305">
        <v>84</v>
      </c>
    </row>
    <row r="306" spans="1:12" x14ac:dyDescent="0.25">
      <c r="A306">
        <v>2025</v>
      </c>
      <c r="B306" s="1" t="s">
        <v>61</v>
      </c>
      <c r="C306" s="1" t="s">
        <v>62</v>
      </c>
      <c r="D306" s="1" t="s">
        <v>60</v>
      </c>
      <c r="E306" s="1" t="s">
        <v>53</v>
      </c>
      <c r="F306" s="1" t="s">
        <v>16</v>
      </c>
      <c r="G306">
        <v>18.809999999999999</v>
      </c>
      <c r="H306">
        <v>5.9</v>
      </c>
      <c r="I306">
        <v>1.21</v>
      </c>
      <c r="J306">
        <v>28.2</v>
      </c>
      <c r="K306">
        <v>85</v>
      </c>
      <c r="L306">
        <v>94</v>
      </c>
    </row>
    <row r="307" spans="1:12" x14ac:dyDescent="0.25">
      <c r="A307">
        <v>2026</v>
      </c>
      <c r="B307" s="1" t="s">
        <v>61</v>
      </c>
      <c r="C307" s="1" t="s">
        <v>62</v>
      </c>
      <c r="D307" s="1" t="s">
        <v>60</v>
      </c>
      <c r="E307" s="1" t="s">
        <v>53</v>
      </c>
      <c r="F307" s="1" t="s">
        <v>16</v>
      </c>
      <c r="G307">
        <v>20.190000000000001</v>
      </c>
      <c r="H307">
        <v>5.9</v>
      </c>
      <c r="I307">
        <v>1.94</v>
      </c>
      <c r="J307">
        <v>30.3</v>
      </c>
      <c r="K307">
        <v>84.1</v>
      </c>
      <c r="L307">
        <v>100</v>
      </c>
    </row>
    <row r="308" spans="1:12" x14ac:dyDescent="0.25">
      <c r="A308">
        <v>2010</v>
      </c>
      <c r="B308" s="1" t="s">
        <v>63</v>
      </c>
      <c r="C308" s="1" t="s">
        <v>64</v>
      </c>
      <c r="D308" s="1" t="s">
        <v>65</v>
      </c>
      <c r="E308" s="1" t="s">
        <v>53</v>
      </c>
      <c r="F308" s="1" t="s">
        <v>16</v>
      </c>
      <c r="G308">
        <v>11.46</v>
      </c>
      <c r="H308">
        <v>5.9</v>
      </c>
      <c r="I308">
        <v>0.15</v>
      </c>
      <c r="J308">
        <v>17.2</v>
      </c>
      <c r="K308">
        <v>82.4</v>
      </c>
      <c r="L308">
        <v>57</v>
      </c>
    </row>
    <row r="309" spans="1:12" x14ac:dyDescent="0.25">
      <c r="A309">
        <v>2011</v>
      </c>
      <c r="B309" s="1" t="s">
        <v>63</v>
      </c>
      <c r="C309" s="1" t="s">
        <v>64</v>
      </c>
      <c r="D309" s="1" t="s">
        <v>65</v>
      </c>
      <c r="E309" s="1" t="s">
        <v>53</v>
      </c>
      <c r="F309" s="1" t="s">
        <v>16</v>
      </c>
      <c r="G309">
        <v>10.72</v>
      </c>
      <c r="H309">
        <v>5.9</v>
      </c>
      <c r="I309">
        <v>0.67</v>
      </c>
      <c r="J309">
        <v>16.100000000000001</v>
      </c>
      <c r="K309">
        <v>81.900000000000006</v>
      </c>
      <c r="L309">
        <v>53</v>
      </c>
    </row>
    <row r="310" spans="1:12" x14ac:dyDescent="0.25">
      <c r="A310">
        <v>2012</v>
      </c>
      <c r="B310" s="1" t="s">
        <v>63</v>
      </c>
      <c r="C310" s="1" t="s">
        <v>64</v>
      </c>
      <c r="D310" s="1" t="s">
        <v>65</v>
      </c>
      <c r="E310" s="1" t="s">
        <v>53</v>
      </c>
      <c r="F310" s="1" t="s">
        <v>16</v>
      </c>
      <c r="G310">
        <v>10.95</v>
      </c>
      <c r="H310">
        <v>5.9</v>
      </c>
      <c r="I310">
        <v>1.17</v>
      </c>
      <c r="J310">
        <v>16.399999999999999</v>
      </c>
      <c r="K310">
        <v>82.7</v>
      </c>
      <c r="L310">
        <v>54</v>
      </c>
    </row>
    <row r="311" spans="1:12" x14ac:dyDescent="0.25">
      <c r="A311">
        <v>2013</v>
      </c>
      <c r="B311" s="1" t="s">
        <v>63</v>
      </c>
      <c r="C311" s="1" t="s">
        <v>64</v>
      </c>
      <c r="D311" s="1" t="s">
        <v>65</v>
      </c>
      <c r="E311" s="1" t="s">
        <v>53</v>
      </c>
      <c r="F311" s="1" t="s">
        <v>16</v>
      </c>
      <c r="G311">
        <v>11.14</v>
      </c>
      <c r="H311">
        <v>5.9</v>
      </c>
      <c r="I311">
        <v>0.6</v>
      </c>
      <c r="J311">
        <v>16.7</v>
      </c>
      <c r="K311">
        <v>83.2</v>
      </c>
      <c r="L311">
        <v>55</v>
      </c>
    </row>
    <row r="312" spans="1:12" x14ac:dyDescent="0.25">
      <c r="A312">
        <v>2014</v>
      </c>
      <c r="B312" s="1" t="s">
        <v>63</v>
      </c>
      <c r="C312" s="1" t="s">
        <v>64</v>
      </c>
      <c r="D312" s="1" t="s">
        <v>65</v>
      </c>
      <c r="E312" s="1" t="s">
        <v>53</v>
      </c>
      <c r="F312" s="1" t="s">
        <v>16</v>
      </c>
      <c r="G312">
        <v>11</v>
      </c>
      <c r="H312">
        <v>5.9</v>
      </c>
      <c r="I312">
        <v>0.78</v>
      </c>
      <c r="J312">
        <v>16.5</v>
      </c>
      <c r="K312">
        <v>85.3</v>
      </c>
      <c r="L312">
        <v>55</v>
      </c>
    </row>
    <row r="313" spans="1:12" x14ac:dyDescent="0.25">
      <c r="A313">
        <v>2015</v>
      </c>
      <c r="B313" s="1" t="s">
        <v>63</v>
      </c>
      <c r="C313" s="1" t="s">
        <v>64</v>
      </c>
      <c r="D313" s="1" t="s">
        <v>65</v>
      </c>
      <c r="E313" s="1" t="s">
        <v>53</v>
      </c>
      <c r="F313" s="1" t="s">
        <v>16</v>
      </c>
      <c r="G313">
        <v>11.56</v>
      </c>
      <c r="H313">
        <v>5.9</v>
      </c>
      <c r="I313">
        <v>0.78</v>
      </c>
      <c r="J313">
        <v>17.3</v>
      </c>
      <c r="K313">
        <v>84.2</v>
      </c>
      <c r="L313">
        <v>57</v>
      </c>
    </row>
    <row r="314" spans="1:12" x14ac:dyDescent="0.25">
      <c r="A314">
        <v>2016</v>
      </c>
      <c r="B314" s="1" t="s">
        <v>63</v>
      </c>
      <c r="C314" s="1" t="s">
        <v>64</v>
      </c>
      <c r="D314" s="1" t="s">
        <v>65</v>
      </c>
      <c r="E314" s="1" t="s">
        <v>53</v>
      </c>
      <c r="F314" s="1" t="s">
        <v>16</v>
      </c>
      <c r="G314">
        <v>10.92</v>
      </c>
      <c r="H314">
        <v>5.9</v>
      </c>
      <c r="I314">
        <v>0.63</v>
      </c>
      <c r="J314">
        <v>16.399999999999999</v>
      </c>
      <c r="K314">
        <v>84.9</v>
      </c>
      <c r="L314">
        <v>54</v>
      </c>
    </row>
    <row r="315" spans="1:12" x14ac:dyDescent="0.25">
      <c r="A315">
        <v>2017</v>
      </c>
      <c r="B315" s="1" t="s">
        <v>63</v>
      </c>
      <c r="C315" s="1" t="s">
        <v>64</v>
      </c>
      <c r="D315" s="1" t="s">
        <v>65</v>
      </c>
      <c r="E315" s="1" t="s">
        <v>53</v>
      </c>
      <c r="F315" s="1" t="s">
        <v>16</v>
      </c>
      <c r="G315">
        <v>11.91</v>
      </c>
      <c r="H315">
        <v>5.9</v>
      </c>
      <c r="I315">
        <v>0.78</v>
      </c>
      <c r="J315">
        <v>17.899999999999999</v>
      </c>
      <c r="K315">
        <v>84.8</v>
      </c>
      <c r="L315">
        <v>59</v>
      </c>
    </row>
    <row r="316" spans="1:12" x14ac:dyDescent="0.25">
      <c r="A316">
        <v>2018</v>
      </c>
      <c r="B316" s="1" t="s">
        <v>63</v>
      </c>
      <c r="C316" s="1" t="s">
        <v>64</v>
      </c>
      <c r="D316" s="1" t="s">
        <v>65</v>
      </c>
      <c r="E316" s="1" t="s">
        <v>53</v>
      </c>
      <c r="F316" s="1" t="s">
        <v>16</v>
      </c>
      <c r="G316">
        <v>12.08</v>
      </c>
      <c r="H316">
        <v>5.9</v>
      </c>
      <c r="I316">
        <v>1.0900000000000001</v>
      </c>
      <c r="J316">
        <v>18.100000000000001</v>
      </c>
      <c r="K316">
        <v>83.6</v>
      </c>
      <c r="L316">
        <v>60</v>
      </c>
    </row>
    <row r="317" spans="1:12" x14ac:dyDescent="0.25">
      <c r="A317">
        <v>2019</v>
      </c>
      <c r="B317" s="1" t="s">
        <v>63</v>
      </c>
      <c r="C317" s="1" t="s">
        <v>64</v>
      </c>
      <c r="D317" s="1" t="s">
        <v>65</v>
      </c>
      <c r="E317" s="1" t="s">
        <v>53</v>
      </c>
      <c r="F317" s="1" t="s">
        <v>16</v>
      </c>
      <c r="G317">
        <v>11.87</v>
      </c>
      <c r="H317">
        <v>5.9</v>
      </c>
      <c r="I317">
        <v>0.81</v>
      </c>
      <c r="J317">
        <v>17.8</v>
      </c>
      <c r="K317">
        <v>77.099999999999994</v>
      </c>
      <c r="L317">
        <v>59</v>
      </c>
    </row>
    <row r="318" spans="1:12" x14ac:dyDescent="0.25">
      <c r="A318">
        <v>2020</v>
      </c>
      <c r="B318" s="1" t="s">
        <v>63</v>
      </c>
      <c r="C318" s="1" t="s">
        <v>64</v>
      </c>
      <c r="D318" s="1" t="s">
        <v>65</v>
      </c>
      <c r="E318" s="1" t="s">
        <v>53</v>
      </c>
      <c r="F318" s="1" t="s">
        <v>16</v>
      </c>
      <c r="G318">
        <v>2.93</v>
      </c>
      <c r="H318">
        <v>5.9</v>
      </c>
      <c r="I318">
        <v>-1.29</v>
      </c>
      <c r="J318">
        <v>4.4000000000000004</v>
      </c>
      <c r="K318">
        <v>51.6</v>
      </c>
      <c r="L318">
        <v>14</v>
      </c>
    </row>
    <row r="319" spans="1:12" x14ac:dyDescent="0.25">
      <c r="A319">
        <v>2021</v>
      </c>
      <c r="B319" s="1" t="s">
        <v>63</v>
      </c>
      <c r="C319" s="1" t="s">
        <v>64</v>
      </c>
      <c r="D319" s="1" t="s">
        <v>65</v>
      </c>
      <c r="E319" s="1" t="s">
        <v>53</v>
      </c>
      <c r="F319" s="1" t="s">
        <v>16</v>
      </c>
      <c r="G319">
        <v>3.04</v>
      </c>
      <c r="H319">
        <v>5.9</v>
      </c>
      <c r="I319">
        <v>-0.51</v>
      </c>
      <c r="J319">
        <v>4.5999999999999996</v>
      </c>
      <c r="K319">
        <v>67.7</v>
      </c>
      <c r="L319">
        <v>15</v>
      </c>
    </row>
    <row r="320" spans="1:12" x14ac:dyDescent="0.25">
      <c r="A320">
        <v>2022</v>
      </c>
      <c r="B320" s="1" t="s">
        <v>63</v>
      </c>
      <c r="C320" s="1" t="s">
        <v>64</v>
      </c>
      <c r="D320" s="1" t="s">
        <v>65</v>
      </c>
      <c r="E320" s="1" t="s">
        <v>53</v>
      </c>
      <c r="F320" s="1" t="s">
        <v>16</v>
      </c>
      <c r="G320">
        <v>10.38</v>
      </c>
      <c r="H320">
        <v>5.9</v>
      </c>
      <c r="I320">
        <v>0.56000000000000005</v>
      </c>
      <c r="J320">
        <v>15.6</v>
      </c>
      <c r="K320">
        <v>82</v>
      </c>
      <c r="L320">
        <v>51</v>
      </c>
    </row>
    <row r="321" spans="1:12" x14ac:dyDescent="0.25">
      <c r="A321">
        <v>2023</v>
      </c>
      <c r="B321" s="1" t="s">
        <v>63</v>
      </c>
      <c r="C321" s="1" t="s">
        <v>64</v>
      </c>
      <c r="D321" s="1" t="s">
        <v>65</v>
      </c>
      <c r="E321" s="1" t="s">
        <v>53</v>
      </c>
      <c r="F321" s="1" t="s">
        <v>16</v>
      </c>
      <c r="G321">
        <v>15.19</v>
      </c>
      <c r="H321">
        <v>5.9</v>
      </c>
      <c r="I321">
        <v>1.21</v>
      </c>
      <c r="J321">
        <v>22.8</v>
      </c>
      <c r="K321">
        <v>83.8</v>
      </c>
      <c r="L321">
        <v>75</v>
      </c>
    </row>
    <row r="322" spans="1:12" x14ac:dyDescent="0.25">
      <c r="A322">
        <v>2024</v>
      </c>
      <c r="B322" s="1" t="s">
        <v>63</v>
      </c>
      <c r="C322" s="1" t="s">
        <v>64</v>
      </c>
      <c r="D322" s="1" t="s">
        <v>65</v>
      </c>
      <c r="E322" s="1" t="s">
        <v>53</v>
      </c>
      <c r="F322" s="1" t="s">
        <v>16</v>
      </c>
      <c r="G322">
        <v>15.75</v>
      </c>
      <c r="H322">
        <v>5.9</v>
      </c>
      <c r="I322">
        <v>1.31</v>
      </c>
      <c r="J322">
        <v>23.6</v>
      </c>
      <c r="K322">
        <v>81</v>
      </c>
      <c r="L322">
        <v>78</v>
      </c>
    </row>
    <row r="323" spans="1:12" x14ac:dyDescent="0.25">
      <c r="A323">
        <v>2025</v>
      </c>
      <c r="B323" s="1" t="s">
        <v>63</v>
      </c>
      <c r="C323" s="1" t="s">
        <v>64</v>
      </c>
      <c r="D323" s="1" t="s">
        <v>65</v>
      </c>
      <c r="E323" s="1" t="s">
        <v>53</v>
      </c>
      <c r="F323" s="1" t="s">
        <v>16</v>
      </c>
      <c r="G323">
        <v>16.2</v>
      </c>
      <c r="H323">
        <v>5.9</v>
      </c>
      <c r="I323">
        <v>1.28</v>
      </c>
      <c r="J323">
        <v>24.3</v>
      </c>
      <c r="K323">
        <v>80.3</v>
      </c>
      <c r="L323">
        <v>80</v>
      </c>
    </row>
    <row r="324" spans="1:12" x14ac:dyDescent="0.25">
      <c r="A324">
        <v>2026</v>
      </c>
      <c r="B324" s="1" t="s">
        <v>63</v>
      </c>
      <c r="C324" s="1" t="s">
        <v>64</v>
      </c>
      <c r="D324" s="1" t="s">
        <v>65</v>
      </c>
      <c r="E324" s="1" t="s">
        <v>53</v>
      </c>
      <c r="F324" s="1" t="s">
        <v>16</v>
      </c>
      <c r="G324">
        <v>17.37</v>
      </c>
      <c r="H324">
        <v>5.9</v>
      </c>
      <c r="I324">
        <v>0.72</v>
      </c>
      <c r="J324">
        <v>26</v>
      </c>
      <c r="K324">
        <v>84.8</v>
      </c>
      <c r="L324">
        <v>86</v>
      </c>
    </row>
    <row r="325" spans="1:12" x14ac:dyDescent="0.25">
      <c r="A325">
        <v>2010</v>
      </c>
      <c r="B325" s="1" t="s">
        <v>66</v>
      </c>
      <c r="C325" s="1" t="s">
        <v>67</v>
      </c>
      <c r="D325" s="1" t="s">
        <v>68</v>
      </c>
      <c r="E325" s="1" t="s">
        <v>53</v>
      </c>
      <c r="F325" s="1" t="s">
        <v>16</v>
      </c>
      <c r="G325">
        <v>11.01</v>
      </c>
      <c r="H325">
        <v>5.9</v>
      </c>
      <c r="I325">
        <v>0.57999999999999996</v>
      </c>
      <c r="J325">
        <v>16.5</v>
      </c>
      <c r="K325">
        <v>82.8</v>
      </c>
      <c r="L325">
        <v>55</v>
      </c>
    </row>
    <row r="326" spans="1:12" x14ac:dyDescent="0.25">
      <c r="A326">
        <v>2011</v>
      </c>
      <c r="B326" s="1" t="s">
        <v>66</v>
      </c>
      <c r="C326" s="1" t="s">
        <v>67</v>
      </c>
      <c r="D326" s="1" t="s">
        <v>68</v>
      </c>
      <c r="E326" s="1" t="s">
        <v>53</v>
      </c>
      <c r="F326" s="1" t="s">
        <v>16</v>
      </c>
      <c r="G326">
        <v>11.44</v>
      </c>
      <c r="H326">
        <v>5.9</v>
      </c>
      <c r="I326">
        <v>0.86</v>
      </c>
      <c r="J326">
        <v>17.2</v>
      </c>
      <c r="K326">
        <v>81</v>
      </c>
      <c r="L326">
        <v>57</v>
      </c>
    </row>
    <row r="327" spans="1:12" x14ac:dyDescent="0.25">
      <c r="A327">
        <v>2012</v>
      </c>
      <c r="B327" s="1" t="s">
        <v>66</v>
      </c>
      <c r="C327" s="1" t="s">
        <v>67</v>
      </c>
      <c r="D327" s="1" t="s">
        <v>68</v>
      </c>
      <c r="E327" s="1" t="s">
        <v>53</v>
      </c>
      <c r="F327" s="1" t="s">
        <v>16</v>
      </c>
      <c r="G327">
        <v>11.36</v>
      </c>
      <c r="H327">
        <v>5.9</v>
      </c>
      <c r="I327">
        <v>1</v>
      </c>
      <c r="J327">
        <v>17</v>
      </c>
      <c r="K327">
        <v>82.2</v>
      </c>
      <c r="L327">
        <v>56</v>
      </c>
    </row>
    <row r="328" spans="1:12" x14ac:dyDescent="0.25">
      <c r="A328">
        <v>2013</v>
      </c>
      <c r="B328" s="1" t="s">
        <v>66</v>
      </c>
      <c r="C328" s="1" t="s">
        <v>67</v>
      </c>
      <c r="D328" s="1" t="s">
        <v>68</v>
      </c>
      <c r="E328" s="1" t="s">
        <v>53</v>
      </c>
      <c r="F328" s="1" t="s">
        <v>16</v>
      </c>
      <c r="G328">
        <v>11.58</v>
      </c>
      <c r="H328">
        <v>5.9</v>
      </c>
      <c r="I328">
        <v>0.82</v>
      </c>
      <c r="J328">
        <v>17.399999999999999</v>
      </c>
      <c r="K328">
        <v>83.9</v>
      </c>
      <c r="L328">
        <v>57</v>
      </c>
    </row>
    <row r="329" spans="1:12" x14ac:dyDescent="0.25">
      <c r="A329">
        <v>2014</v>
      </c>
      <c r="B329" s="1" t="s">
        <v>66</v>
      </c>
      <c r="C329" s="1" t="s">
        <v>67</v>
      </c>
      <c r="D329" s="1" t="s">
        <v>68</v>
      </c>
      <c r="E329" s="1" t="s">
        <v>53</v>
      </c>
      <c r="F329" s="1" t="s">
        <v>16</v>
      </c>
      <c r="G329">
        <v>11.88</v>
      </c>
      <c r="H329">
        <v>5.9</v>
      </c>
      <c r="I329">
        <v>0.78</v>
      </c>
      <c r="J329">
        <v>17.8</v>
      </c>
      <c r="K329">
        <v>84.5</v>
      </c>
      <c r="L329">
        <v>59</v>
      </c>
    </row>
    <row r="330" spans="1:12" x14ac:dyDescent="0.25">
      <c r="A330">
        <v>2015</v>
      </c>
      <c r="B330" s="1" t="s">
        <v>66</v>
      </c>
      <c r="C330" s="1" t="s">
        <v>67</v>
      </c>
      <c r="D330" s="1" t="s">
        <v>68</v>
      </c>
      <c r="E330" s="1" t="s">
        <v>53</v>
      </c>
      <c r="F330" s="1" t="s">
        <v>16</v>
      </c>
      <c r="G330">
        <v>12.94</v>
      </c>
      <c r="H330">
        <v>5.9</v>
      </c>
      <c r="I330">
        <v>0.98</v>
      </c>
      <c r="J330">
        <v>19.399999999999999</v>
      </c>
      <c r="K330">
        <v>80.2</v>
      </c>
      <c r="L330">
        <v>64</v>
      </c>
    </row>
    <row r="331" spans="1:12" x14ac:dyDescent="0.25">
      <c r="A331">
        <v>2016</v>
      </c>
      <c r="B331" s="1" t="s">
        <v>66</v>
      </c>
      <c r="C331" s="1" t="s">
        <v>67</v>
      </c>
      <c r="D331" s="1" t="s">
        <v>68</v>
      </c>
      <c r="E331" s="1" t="s">
        <v>53</v>
      </c>
      <c r="F331" s="1" t="s">
        <v>16</v>
      </c>
      <c r="G331">
        <v>13.33</v>
      </c>
      <c r="H331">
        <v>5.9</v>
      </c>
      <c r="I331">
        <v>0.7</v>
      </c>
      <c r="J331">
        <v>20</v>
      </c>
      <c r="K331">
        <v>82</v>
      </c>
      <c r="L331">
        <v>66</v>
      </c>
    </row>
    <row r="332" spans="1:12" x14ac:dyDescent="0.25">
      <c r="A332">
        <v>2017</v>
      </c>
      <c r="B332" s="1" t="s">
        <v>66</v>
      </c>
      <c r="C332" s="1" t="s">
        <v>67</v>
      </c>
      <c r="D332" s="1" t="s">
        <v>68</v>
      </c>
      <c r="E332" s="1" t="s">
        <v>53</v>
      </c>
      <c r="F332" s="1" t="s">
        <v>16</v>
      </c>
      <c r="G332">
        <v>13.96</v>
      </c>
      <c r="H332">
        <v>5.9</v>
      </c>
      <c r="I332">
        <v>1.35</v>
      </c>
      <c r="J332">
        <v>20.9</v>
      </c>
      <c r="K332">
        <v>86.6</v>
      </c>
      <c r="L332">
        <v>69</v>
      </c>
    </row>
    <row r="333" spans="1:12" x14ac:dyDescent="0.25">
      <c r="A333">
        <v>2018</v>
      </c>
      <c r="B333" s="1" t="s">
        <v>66</v>
      </c>
      <c r="C333" s="1" t="s">
        <v>67</v>
      </c>
      <c r="D333" s="1" t="s">
        <v>68</v>
      </c>
      <c r="E333" s="1" t="s">
        <v>53</v>
      </c>
      <c r="F333" s="1" t="s">
        <v>16</v>
      </c>
      <c r="G333">
        <v>14.56</v>
      </c>
      <c r="H333">
        <v>5.9</v>
      </c>
      <c r="I333">
        <v>0.83</v>
      </c>
      <c r="J333">
        <v>21.8</v>
      </c>
      <c r="K333">
        <v>83.7</v>
      </c>
      <c r="L333">
        <v>72</v>
      </c>
    </row>
    <row r="334" spans="1:12" x14ac:dyDescent="0.25">
      <c r="A334">
        <v>2019</v>
      </c>
      <c r="B334" s="1" t="s">
        <v>66</v>
      </c>
      <c r="C334" s="1" t="s">
        <v>67</v>
      </c>
      <c r="D334" s="1" t="s">
        <v>68</v>
      </c>
      <c r="E334" s="1" t="s">
        <v>53</v>
      </c>
      <c r="F334" s="1" t="s">
        <v>16</v>
      </c>
      <c r="G334">
        <v>14.02</v>
      </c>
      <c r="H334">
        <v>5.9</v>
      </c>
      <c r="I334">
        <v>0.88</v>
      </c>
      <c r="J334">
        <v>21</v>
      </c>
      <c r="K334">
        <v>83.3</v>
      </c>
      <c r="L334">
        <v>70</v>
      </c>
    </row>
    <row r="335" spans="1:12" x14ac:dyDescent="0.25">
      <c r="A335">
        <v>2020</v>
      </c>
      <c r="B335" s="1" t="s">
        <v>66</v>
      </c>
      <c r="C335" s="1" t="s">
        <v>67</v>
      </c>
      <c r="D335" s="1" t="s">
        <v>68</v>
      </c>
      <c r="E335" s="1" t="s">
        <v>53</v>
      </c>
      <c r="F335" s="1" t="s">
        <v>16</v>
      </c>
      <c r="G335">
        <v>5.84</v>
      </c>
      <c r="H335">
        <v>5.9</v>
      </c>
      <c r="I335">
        <v>-2.0499999999999998</v>
      </c>
      <c r="J335">
        <v>8.8000000000000007</v>
      </c>
      <c r="K335">
        <v>53.5</v>
      </c>
      <c r="L335">
        <v>29</v>
      </c>
    </row>
    <row r="336" spans="1:12" x14ac:dyDescent="0.25">
      <c r="A336">
        <v>2021</v>
      </c>
      <c r="B336" s="1" t="s">
        <v>66</v>
      </c>
      <c r="C336" s="1" t="s">
        <v>67</v>
      </c>
      <c r="D336" s="1" t="s">
        <v>68</v>
      </c>
      <c r="E336" s="1" t="s">
        <v>53</v>
      </c>
      <c r="F336" s="1" t="s">
        <v>16</v>
      </c>
      <c r="G336">
        <v>5.63</v>
      </c>
      <c r="H336">
        <v>5.9</v>
      </c>
      <c r="I336">
        <v>-0.92</v>
      </c>
      <c r="J336">
        <v>8.4</v>
      </c>
      <c r="K336">
        <v>70</v>
      </c>
      <c r="L336">
        <v>28</v>
      </c>
    </row>
    <row r="337" spans="1:12" x14ac:dyDescent="0.25">
      <c r="A337">
        <v>2022</v>
      </c>
      <c r="B337" s="1" t="s">
        <v>66</v>
      </c>
      <c r="C337" s="1" t="s">
        <v>67</v>
      </c>
      <c r="D337" s="1" t="s">
        <v>68</v>
      </c>
      <c r="E337" s="1" t="s">
        <v>53</v>
      </c>
      <c r="F337" s="1" t="s">
        <v>16</v>
      </c>
      <c r="G337">
        <v>6.16</v>
      </c>
      <c r="H337">
        <v>5.9</v>
      </c>
      <c r="I337">
        <v>0.23</v>
      </c>
      <c r="J337">
        <v>9.1999999999999993</v>
      </c>
      <c r="K337">
        <v>82.3</v>
      </c>
      <c r="L337">
        <v>30</v>
      </c>
    </row>
    <row r="338" spans="1:12" x14ac:dyDescent="0.25">
      <c r="A338">
        <v>2023</v>
      </c>
      <c r="B338" s="1" t="s">
        <v>66</v>
      </c>
      <c r="C338" s="1" t="s">
        <v>67</v>
      </c>
      <c r="D338" s="1" t="s">
        <v>68</v>
      </c>
      <c r="E338" s="1" t="s">
        <v>53</v>
      </c>
      <c r="F338" s="1" t="s">
        <v>16</v>
      </c>
      <c r="G338">
        <v>12.99</v>
      </c>
      <c r="H338">
        <v>5.9</v>
      </c>
      <c r="I338">
        <v>1.1599999999999999</v>
      </c>
      <c r="J338">
        <v>19.5</v>
      </c>
      <c r="K338">
        <v>80.5</v>
      </c>
      <c r="L338">
        <v>64</v>
      </c>
    </row>
    <row r="339" spans="1:12" x14ac:dyDescent="0.25">
      <c r="A339">
        <v>2024</v>
      </c>
      <c r="B339" s="1" t="s">
        <v>66</v>
      </c>
      <c r="C339" s="1" t="s">
        <v>67</v>
      </c>
      <c r="D339" s="1" t="s">
        <v>68</v>
      </c>
      <c r="E339" s="1" t="s">
        <v>53</v>
      </c>
      <c r="F339" s="1" t="s">
        <v>16</v>
      </c>
      <c r="G339">
        <v>14.1</v>
      </c>
      <c r="H339">
        <v>5.9</v>
      </c>
      <c r="I339">
        <v>0.95</v>
      </c>
      <c r="J339">
        <v>21.1</v>
      </c>
      <c r="K339">
        <v>79.7</v>
      </c>
      <c r="L339">
        <v>70</v>
      </c>
    </row>
    <row r="340" spans="1:12" x14ac:dyDescent="0.25">
      <c r="A340">
        <v>2025</v>
      </c>
      <c r="B340" s="1" t="s">
        <v>66</v>
      </c>
      <c r="C340" s="1" t="s">
        <v>67</v>
      </c>
      <c r="D340" s="1" t="s">
        <v>68</v>
      </c>
      <c r="E340" s="1" t="s">
        <v>53</v>
      </c>
      <c r="F340" s="1" t="s">
        <v>16</v>
      </c>
      <c r="G340">
        <v>14.05</v>
      </c>
      <c r="H340">
        <v>5.9</v>
      </c>
      <c r="I340">
        <v>0.77</v>
      </c>
      <c r="J340">
        <v>21.1</v>
      </c>
      <c r="K340">
        <v>83.1</v>
      </c>
      <c r="L340">
        <v>70</v>
      </c>
    </row>
    <row r="341" spans="1:12" x14ac:dyDescent="0.25">
      <c r="A341">
        <v>2026</v>
      </c>
      <c r="B341" s="1" t="s">
        <v>66</v>
      </c>
      <c r="C341" s="1" t="s">
        <v>67</v>
      </c>
      <c r="D341" s="1" t="s">
        <v>68</v>
      </c>
      <c r="E341" s="1" t="s">
        <v>53</v>
      </c>
      <c r="F341" s="1" t="s">
        <v>16</v>
      </c>
      <c r="G341">
        <v>15.37</v>
      </c>
      <c r="H341">
        <v>5.9</v>
      </c>
      <c r="I341">
        <v>0.79</v>
      </c>
      <c r="J341">
        <v>23.1</v>
      </c>
      <c r="K341">
        <v>84.2</v>
      </c>
      <c r="L341">
        <v>76</v>
      </c>
    </row>
    <row r="342" spans="1:12" x14ac:dyDescent="0.25">
      <c r="A342">
        <v>2010</v>
      </c>
      <c r="B342" s="1" t="s">
        <v>69</v>
      </c>
      <c r="C342" s="1" t="s">
        <v>70</v>
      </c>
      <c r="D342" s="1" t="s">
        <v>71</v>
      </c>
      <c r="E342" s="1" t="s">
        <v>53</v>
      </c>
      <c r="F342" s="1" t="s">
        <v>16</v>
      </c>
      <c r="G342">
        <v>10.41</v>
      </c>
      <c r="H342">
        <v>5.9</v>
      </c>
      <c r="I342">
        <v>0.71</v>
      </c>
      <c r="J342">
        <v>15.6</v>
      </c>
      <c r="K342">
        <v>83.8</v>
      </c>
      <c r="L342">
        <v>52</v>
      </c>
    </row>
    <row r="343" spans="1:12" x14ac:dyDescent="0.25">
      <c r="A343">
        <v>2011</v>
      </c>
      <c r="B343" s="1" t="s">
        <v>69</v>
      </c>
      <c r="C343" s="1" t="s">
        <v>70</v>
      </c>
      <c r="D343" s="1" t="s">
        <v>71</v>
      </c>
      <c r="E343" s="1" t="s">
        <v>53</v>
      </c>
      <c r="F343" s="1" t="s">
        <v>16</v>
      </c>
      <c r="G343">
        <v>10.53</v>
      </c>
      <c r="H343">
        <v>5.9</v>
      </c>
      <c r="I343">
        <v>0.08</v>
      </c>
      <c r="J343">
        <v>15.8</v>
      </c>
      <c r="K343">
        <v>82.3</v>
      </c>
      <c r="L343">
        <v>52</v>
      </c>
    </row>
    <row r="344" spans="1:12" x14ac:dyDescent="0.25">
      <c r="A344">
        <v>2012</v>
      </c>
      <c r="B344" s="1" t="s">
        <v>69</v>
      </c>
      <c r="C344" s="1" t="s">
        <v>70</v>
      </c>
      <c r="D344" s="1" t="s">
        <v>71</v>
      </c>
      <c r="E344" s="1" t="s">
        <v>53</v>
      </c>
      <c r="F344" s="1" t="s">
        <v>16</v>
      </c>
      <c r="G344">
        <v>9.7200000000000006</v>
      </c>
      <c r="H344">
        <v>5.9</v>
      </c>
      <c r="I344">
        <v>0.59</v>
      </c>
      <c r="J344">
        <v>14.6</v>
      </c>
      <c r="K344">
        <v>83</v>
      </c>
      <c r="L344">
        <v>48</v>
      </c>
    </row>
    <row r="345" spans="1:12" x14ac:dyDescent="0.25">
      <c r="A345">
        <v>2013</v>
      </c>
      <c r="B345" s="1" t="s">
        <v>69</v>
      </c>
      <c r="C345" s="1" t="s">
        <v>70</v>
      </c>
      <c r="D345" s="1" t="s">
        <v>71</v>
      </c>
      <c r="E345" s="1" t="s">
        <v>53</v>
      </c>
      <c r="F345" s="1" t="s">
        <v>16</v>
      </c>
      <c r="G345">
        <v>10.75</v>
      </c>
      <c r="H345">
        <v>5.9</v>
      </c>
      <c r="I345">
        <v>0.96</v>
      </c>
      <c r="J345">
        <v>16.100000000000001</v>
      </c>
      <c r="K345">
        <v>83.4</v>
      </c>
      <c r="L345">
        <v>53</v>
      </c>
    </row>
    <row r="346" spans="1:12" x14ac:dyDescent="0.25">
      <c r="A346">
        <v>2014</v>
      </c>
      <c r="B346" s="1" t="s">
        <v>69</v>
      </c>
      <c r="C346" s="1" t="s">
        <v>70</v>
      </c>
      <c r="D346" s="1" t="s">
        <v>71</v>
      </c>
      <c r="E346" s="1" t="s">
        <v>53</v>
      </c>
      <c r="F346" s="1" t="s">
        <v>16</v>
      </c>
      <c r="G346">
        <v>10.3</v>
      </c>
      <c r="H346">
        <v>5.9</v>
      </c>
      <c r="I346">
        <v>0.74</v>
      </c>
      <c r="J346">
        <v>15.5</v>
      </c>
      <c r="K346">
        <v>81.900000000000006</v>
      </c>
      <c r="L346">
        <v>51</v>
      </c>
    </row>
    <row r="347" spans="1:12" x14ac:dyDescent="0.25">
      <c r="A347">
        <v>2015</v>
      </c>
      <c r="B347" s="1" t="s">
        <v>69</v>
      </c>
      <c r="C347" s="1" t="s">
        <v>70</v>
      </c>
      <c r="D347" s="1" t="s">
        <v>71</v>
      </c>
      <c r="E347" s="1" t="s">
        <v>53</v>
      </c>
      <c r="F347" s="1" t="s">
        <v>16</v>
      </c>
      <c r="G347">
        <v>10.5</v>
      </c>
      <c r="H347">
        <v>5.9</v>
      </c>
      <c r="I347">
        <v>0.89</v>
      </c>
      <c r="J347">
        <v>15.7</v>
      </c>
      <c r="K347">
        <v>81.900000000000006</v>
      </c>
      <c r="L347">
        <v>52</v>
      </c>
    </row>
    <row r="348" spans="1:12" x14ac:dyDescent="0.25">
      <c r="A348">
        <v>2016</v>
      </c>
      <c r="B348" s="1" t="s">
        <v>69</v>
      </c>
      <c r="C348" s="1" t="s">
        <v>70</v>
      </c>
      <c r="D348" s="1" t="s">
        <v>71</v>
      </c>
      <c r="E348" s="1" t="s">
        <v>53</v>
      </c>
      <c r="F348" s="1" t="s">
        <v>16</v>
      </c>
      <c r="G348">
        <v>10.93</v>
      </c>
      <c r="H348">
        <v>5.9</v>
      </c>
      <c r="I348">
        <v>0.84</v>
      </c>
      <c r="J348">
        <v>16.399999999999999</v>
      </c>
      <c r="K348">
        <v>81.099999999999994</v>
      </c>
      <c r="L348">
        <v>54</v>
      </c>
    </row>
    <row r="349" spans="1:12" x14ac:dyDescent="0.25">
      <c r="A349">
        <v>2017</v>
      </c>
      <c r="B349" s="1" t="s">
        <v>69</v>
      </c>
      <c r="C349" s="1" t="s">
        <v>70</v>
      </c>
      <c r="D349" s="1" t="s">
        <v>71</v>
      </c>
      <c r="E349" s="1" t="s">
        <v>53</v>
      </c>
      <c r="F349" s="1" t="s">
        <v>16</v>
      </c>
      <c r="G349">
        <v>11.15</v>
      </c>
      <c r="H349">
        <v>5.9</v>
      </c>
      <c r="I349">
        <v>0.86</v>
      </c>
      <c r="J349">
        <v>16.7</v>
      </c>
      <c r="K349">
        <v>83.2</v>
      </c>
      <c r="L349">
        <v>55</v>
      </c>
    </row>
    <row r="350" spans="1:12" x14ac:dyDescent="0.25">
      <c r="A350">
        <v>2018</v>
      </c>
      <c r="B350" s="1" t="s">
        <v>69</v>
      </c>
      <c r="C350" s="1" t="s">
        <v>70</v>
      </c>
      <c r="D350" s="1" t="s">
        <v>71</v>
      </c>
      <c r="E350" s="1" t="s">
        <v>53</v>
      </c>
      <c r="F350" s="1" t="s">
        <v>16</v>
      </c>
      <c r="G350">
        <v>10.75</v>
      </c>
      <c r="H350">
        <v>5.9</v>
      </c>
      <c r="I350">
        <v>0.41</v>
      </c>
      <c r="J350">
        <v>16.100000000000001</v>
      </c>
      <c r="K350">
        <v>81.900000000000006</v>
      </c>
      <c r="L350">
        <v>53</v>
      </c>
    </row>
    <row r="351" spans="1:12" x14ac:dyDescent="0.25">
      <c r="A351">
        <v>2019</v>
      </c>
      <c r="B351" s="1" t="s">
        <v>69</v>
      </c>
      <c r="C351" s="1" t="s">
        <v>70</v>
      </c>
      <c r="D351" s="1" t="s">
        <v>71</v>
      </c>
      <c r="E351" s="1" t="s">
        <v>53</v>
      </c>
      <c r="F351" s="1" t="s">
        <v>16</v>
      </c>
      <c r="G351">
        <v>10.77</v>
      </c>
      <c r="H351">
        <v>5.9</v>
      </c>
      <c r="I351">
        <v>0.39</v>
      </c>
      <c r="J351">
        <v>16.2</v>
      </c>
      <c r="K351">
        <v>83.9</v>
      </c>
      <c r="L351">
        <v>53</v>
      </c>
    </row>
    <row r="352" spans="1:12" x14ac:dyDescent="0.25">
      <c r="A352">
        <v>2020</v>
      </c>
      <c r="B352" s="1" t="s">
        <v>69</v>
      </c>
      <c r="C352" s="1" t="s">
        <v>70</v>
      </c>
      <c r="D352" s="1" t="s">
        <v>71</v>
      </c>
      <c r="E352" s="1" t="s">
        <v>53</v>
      </c>
      <c r="F352" s="1" t="s">
        <v>16</v>
      </c>
      <c r="G352">
        <v>5.97</v>
      </c>
      <c r="H352">
        <v>5.9</v>
      </c>
      <c r="I352">
        <v>-2.12</v>
      </c>
      <c r="J352">
        <v>9</v>
      </c>
      <c r="K352">
        <v>55.2</v>
      </c>
      <c r="L352">
        <v>29</v>
      </c>
    </row>
    <row r="353" spans="1:12" x14ac:dyDescent="0.25">
      <c r="A353">
        <v>2021</v>
      </c>
      <c r="B353" s="1" t="s">
        <v>69</v>
      </c>
      <c r="C353" s="1" t="s">
        <v>70</v>
      </c>
      <c r="D353" s="1" t="s">
        <v>71</v>
      </c>
      <c r="E353" s="1" t="s">
        <v>53</v>
      </c>
      <c r="F353" s="1" t="s">
        <v>16</v>
      </c>
      <c r="G353">
        <v>7.96</v>
      </c>
      <c r="H353">
        <v>5.9</v>
      </c>
      <c r="I353">
        <v>-1.71</v>
      </c>
      <c r="J353">
        <v>11.9</v>
      </c>
      <c r="K353">
        <v>72.900000000000006</v>
      </c>
      <c r="L353">
        <v>39</v>
      </c>
    </row>
    <row r="354" spans="1:12" x14ac:dyDescent="0.25">
      <c r="A354">
        <v>2022</v>
      </c>
      <c r="B354" s="1" t="s">
        <v>69</v>
      </c>
      <c r="C354" s="1" t="s">
        <v>70</v>
      </c>
      <c r="D354" s="1" t="s">
        <v>71</v>
      </c>
      <c r="E354" s="1" t="s">
        <v>53</v>
      </c>
      <c r="F354" s="1" t="s">
        <v>16</v>
      </c>
      <c r="G354">
        <v>10.75</v>
      </c>
      <c r="H354">
        <v>5.9</v>
      </c>
      <c r="I354">
        <v>0.33</v>
      </c>
      <c r="J354">
        <v>16.100000000000001</v>
      </c>
      <c r="K354">
        <v>83.2</v>
      </c>
      <c r="L354">
        <v>53</v>
      </c>
    </row>
    <row r="355" spans="1:12" x14ac:dyDescent="0.25">
      <c r="A355">
        <v>2023</v>
      </c>
      <c r="B355" s="1" t="s">
        <v>69</v>
      </c>
      <c r="C355" s="1" t="s">
        <v>70</v>
      </c>
      <c r="D355" s="1" t="s">
        <v>71</v>
      </c>
      <c r="E355" s="1" t="s">
        <v>53</v>
      </c>
      <c r="F355" s="1" t="s">
        <v>16</v>
      </c>
      <c r="G355">
        <v>11.76</v>
      </c>
      <c r="H355">
        <v>5.9</v>
      </c>
      <c r="I355">
        <v>0.9</v>
      </c>
      <c r="J355">
        <v>17.600000000000001</v>
      </c>
      <c r="K355">
        <v>85.9</v>
      </c>
      <c r="L355">
        <v>58</v>
      </c>
    </row>
    <row r="356" spans="1:12" x14ac:dyDescent="0.25">
      <c r="A356">
        <v>2024</v>
      </c>
      <c r="B356" s="1" t="s">
        <v>69</v>
      </c>
      <c r="C356" s="1" t="s">
        <v>70</v>
      </c>
      <c r="D356" s="1" t="s">
        <v>71</v>
      </c>
      <c r="E356" s="1" t="s">
        <v>53</v>
      </c>
      <c r="F356" s="1" t="s">
        <v>16</v>
      </c>
      <c r="G356">
        <v>12.33</v>
      </c>
      <c r="H356">
        <v>5.9</v>
      </c>
      <c r="I356">
        <v>1.34</v>
      </c>
      <c r="J356">
        <v>18.5</v>
      </c>
      <c r="K356">
        <v>81.7</v>
      </c>
      <c r="L356">
        <v>61</v>
      </c>
    </row>
    <row r="357" spans="1:12" x14ac:dyDescent="0.25">
      <c r="A357">
        <v>2025</v>
      </c>
      <c r="B357" s="1" t="s">
        <v>69</v>
      </c>
      <c r="C357" s="1" t="s">
        <v>70</v>
      </c>
      <c r="D357" s="1" t="s">
        <v>71</v>
      </c>
      <c r="E357" s="1" t="s">
        <v>53</v>
      </c>
      <c r="F357" s="1" t="s">
        <v>16</v>
      </c>
      <c r="G357">
        <v>13.23</v>
      </c>
      <c r="H357">
        <v>5.9</v>
      </c>
      <c r="I357">
        <v>0.7</v>
      </c>
      <c r="J357">
        <v>19.8</v>
      </c>
      <c r="K357">
        <v>83.9</v>
      </c>
      <c r="L357">
        <v>66</v>
      </c>
    </row>
    <row r="358" spans="1:12" x14ac:dyDescent="0.25">
      <c r="A358">
        <v>2026</v>
      </c>
      <c r="B358" s="1" t="s">
        <v>69</v>
      </c>
      <c r="C358" s="1" t="s">
        <v>70</v>
      </c>
      <c r="D358" s="1" t="s">
        <v>71</v>
      </c>
      <c r="E358" s="1" t="s">
        <v>53</v>
      </c>
      <c r="F358" s="1" t="s">
        <v>16</v>
      </c>
      <c r="G358">
        <v>14.62</v>
      </c>
      <c r="H358">
        <v>5.9</v>
      </c>
      <c r="I358">
        <v>0.85</v>
      </c>
      <c r="J358">
        <v>21.9</v>
      </c>
      <c r="K358">
        <v>82.6</v>
      </c>
      <c r="L358">
        <v>73</v>
      </c>
    </row>
    <row r="359" spans="1:12" x14ac:dyDescent="0.25">
      <c r="A359">
        <v>2010</v>
      </c>
      <c r="B359" s="1" t="s">
        <v>72</v>
      </c>
      <c r="C359" s="1" t="s">
        <v>73</v>
      </c>
      <c r="D359" s="1" t="s">
        <v>74</v>
      </c>
      <c r="E359" s="1" t="s">
        <v>53</v>
      </c>
      <c r="F359" s="1" t="s">
        <v>23</v>
      </c>
      <c r="G359">
        <v>0.87</v>
      </c>
      <c r="H359">
        <v>5.9</v>
      </c>
      <c r="I359">
        <v>0.1</v>
      </c>
      <c r="J359">
        <v>3.5</v>
      </c>
      <c r="K359">
        <v>83.8</v>
      </c>
      <c r="L359">
        <v>4</v>
      </c>
    </row>
    <row r="360" spans="1:12" x14ac:dyDescent="0.25">
      <c r="A360">
        <v>2011</v>
      </c>
      <c r="B360" s="1" t="s">
        <v>72</v>
      </c>
      <c r="C360" s="1" t="s">
        <v>73</v>
      </c>
      <c r="D360" s="1" t="s">
        <v>74</v>
      </c>
      <c r="E360" s="1" t="s">
        <v>53</v>
      </c>
      <c r="F360" s="1" t="s">
        <v>23</v>
      </c>
      <c r="G360">
        <v>1.1499999999999999</v>
      </c>
      <c r="H360">
        <v>5.9</v>
      </c>
      <c r="I360">
        <v>0.14000000000000001</v>
      </c>
      <c r="J360">
        <v>4.5999999999999996</v>
      </c>
      <c r="K360">
        <v>89.6</v>
      </c>
      <c r="L360">
        <v>5</v>
      </c>
    </row>
    <row r="361" spans="1:12" x14ac:dyDescent="0.25">
      <c r="A361">
        <v>2012</v>
      </c>
      <c r="B361" s="1" t="s">
        <v>72</v>
      </c>
      <c r="C361" s="1" t="s">
        <v>73</v>
      </c>
      <c r="D361" s="1" t="s">
        <v>74</v>
      </c>
      <c r="E361" s="1" t="s">
        <v>53</v>
      </c>
      <c r="F361" s="1" t="s">
        <v>23</v>
      </c>
      <c r="G361">
        <v>1.59</v>
      </c>
      <c r="H361">
        <v>5.9</v>
      </c>
      <c r="I361">
        <v>0.17</v>
      </c>
      <c r="J361">
        <v>6.4</v>
      </c>
      <c r="K361">
        <v>89.9</v>
      </c>
      <c r="L361">
        <v>7</v>
      </c>
    </row>
    <row r="362" spans="1:12" x14ac:dyDescent="0.25">
      <c r="A362">
        <v>2013</v>
      </c>
      <c r="B362" s="1" t="s">
        <v>72</v>
      </c>
      <c r="C362" s="1" t="s">
        <v>73</v>
      </c>
      <c r="D362" s="1" t="s">
        <v>74</v>
      </c>
      <c r="E362" s="1" t="s">
        <v>53</v>
      </c>
      <c r="F362" s="1" t="s">
        <v>23</v>
      </c>
      <c r="G362">
        <v>1.75</v>
      </c>
      <c r="H362">
        <v>5.9</v>
      </c>
      <c r="I362">
        <v>0.2</v>
      </c>
      <c r="J362">
        <v>7</v>
      </c>
      <c r="K362">
        <v>87.9</v>
      </c>
      <c r="L362">
        <v>8</v>
      </c>
    </row>
    <row r="363" spans="1:12" x14ac:dyDescent="0.25">
      <c r="A363">
        <v>2014</v>
      </c>
      <c r="B363" s="1" t="s">
        <v>72</v>
      </c>
      <c r="C363" s="1" t="s">
        <v>73</v>
      </c>
      <c r="D363" s="1" t="s">
        <v>74</v>
      </c>
      <c r="E363" s="1" t="s">
        <v>53</v>
      </c>
      <c r="F363" s="1" t="s">
        <v>23</v>
      </c>
      <c r="G363">
        <v>2.02</v>
      </c>
      <c r="H363">
        <v>5.9</v>
      </c>
      <c r="I363">
        <v>0.25</v>
      </c>
      <c r="J363">
        <v>8.1</v>
      </c>
      <c r="K363">
        <v>86.2</v>
      </c>
      <c r="L363">
        <v>10</v>
      </c>
    </row>
    <row r="364" spans="1:12" x14ac:dyDescent="0.25">
      <c r="A364">
        <v>2015</v>
      </c>
      <c r="B364" s="1" t="s">
        <v>72</v>
      </c>
      <c r="C364" s="1" t="s">
        <v>73</v>
      </c>
      <c r="D364" s="1" t="s">
        <v>74</v>
      </c>
      <c r="E364" s="1" t="s">
        <v>53</v>
      </c>
      <c r="F364" s="1" t="s">
        <v>23</v>
      </c>
      <c r="G364">
        <v>2.21</v>
      </c>
      <c r="H364">
        <v>5.9</v>
      </c>
      <c r="I364">
        <v>0.18</v>
      </c>
      <c r="J364">
        <v>8.8000000000000007</v>
      </c>
      <c r="K364">
        <v>88.3</v>
      </c>
      <c r="L364">
        <v>11</v>
      </c>
    </row>
    <row r="365" spans="1:12" x14ac:dyDescent="0.25">
      <c r="A365">
        <v>2016</v>
      </c>
      <c r="B365" s="1" t="s">
        <v>72</v>
      </c>
      <c r="C365" s="1" t="s">
        <v>73</v>
      </c>
      <c r="D365" s="1" t="s">
        <v>74</v>
      </c>
      <c r="E365" s="1" t="s">
        <v>53</v>
      </c>
      <c r="F365" s="1" t="s">
        <v>23</v>
      </c>
      <c r="G365">
        <v>2.71</v>
      </c>
      <c r="H365">
        <v>5.9</v>
      </c>
      <c r="I365">
        <v>0.28000000000000003</v>
      </c>
      <c r="J365">
        <v>10.8</v>
      </c>
      <c r="K365">
        <v>87</v>
      </c>
      <c r="L365">
        <v>13</v>
      </c>
    </row>
    <row r="366" spans="1:12" x14ac:dyDescent="0.25">
      <c r="A366">
        <v>2017</v>
      </c>
      <c r="B366" s="1" t="s">
        <v>72</v>
      </c>
      <c r="C366" s="1" t="s">
        <v>73</v>
      </c>
      <c r="D366" s="1" t="s">
        <v>74</v>
      </c>
      <c r="E366" s="1" t="s">
        <v>53</v>
      </c>
      <c r="F366" s="1" t="s">
        <v>23</v>
      </c>
      <c r="G366">
        <v>3.24</v>
      </c>
      <c r="H366">
        <v>5.9</v>
      </c>
      <c r="I366">
        <v>0.4</v>
      </c>
      <c r="J366">
        <v>13</v>
      </c>
      <c r="K366">
        <v>85.7</v>
      </c>
      <c r="L366">
        <v>16</v>
      </c>
    </row>
    <row r="367" spans="1:12" x14ac:dyDescent="0.25">
      <c r="A367">
        <v>2018</v>
      </c>
      <c r="B367" s="1" t="s">
        <v>72</v>
      </c>
      <c r="C367" s="1" t="s">
        <v>73</v>
      </c>
      <c r="D367" s="1" t="s">
        <v>74</v>
      </c>
      <c r="E367" s="1" t="s">
        <v>53</v>
      </c>
      <c r="F367" s="1" t="s">
        <v>23</v>
      </c>
      <c r="G367">
        <v>3.73</v>
      </c>
      <c r="H367">
        <v>5.9</v>
      </c>
      <c r="I367">
        <v>0.6</v>
      </c>
      <c r="J367">
        <v>14.9</v>
      </c>
      <c r="K367">
        <v>88</v>
      </c>
      <c r="L367">
        <v>18</v>
      </c>
    </row>
    <row r="368" spans="1:12" x14ac:dyDescent="0.25">
      <c r="A368">
        <v>2019</v>
      </c>
      <c r="B368" s="1" t="s">
        <v>72</v>
      </c>
      <c r="C368" s="1" t="s">
        <v>73</v>
      </c>
      <c r="D368" s="1" t="s">
        <v>74</v>
      </c>
      <c r="E368" s="1" t="s">
        <v>53</v>
      </c>
      <c r="F368" s="1" t="s">
        <v>23</v>
      </c>
      <c r="G368">
        <v>5.05</v>
      </c>
      <c r="H368">
        <v>5.9</v>
      </c>
      <c r="I368">
        <v>0.76</v>
      </c>
      <c r="J368">
        <v>20.2</v>
      </c>
      <c r="K368">
        <v>89.3</v>
      </c>
      <c r="L368">
        <v>25</v>
      </c>
    </row>
    <row r="369" spans="1:12" x14ac:dyDescent="0.25">
      <c r="A369">
        <v>2020</v>
      </c>
      <c r="B369" s="1" t="s">
        <v>72</v>
      </c>
      <c r="C369" s="1" t="s">
        <v>73</v>
      </c>
      <c r="D369" s="1" t="s">
        <v>74</v>
      </c>
      <c r="E369" s="1" t="s">
        <v>53</v>
      </c>
      <c r="F369" s="1" t="s">
        <v>23</v>
      </c>
      <c r="G369">
        <v>2.04</v>
      </c>
      <c r="H369">
        <v>5.9</v>
      </c>
      <c r="I369">
        <v>-0.68</v>
      </c>
      <c r="J369">
        <v>8.1</v>
      </c>
      <c r="K369">
        <v>56</v>
      </c>
      <c r="L369">
        <v>10</v>
      </c>
    </row>
    <row r="370" spans="1:12" x14ac:dyDescent="0.25">
      <c r="A370">
        <v>2021</v>
      </c>
      <c r="B370" s="1" t="s">
        <v>72</v>
      </c>
      <c r="C370" s="1" t="s">
        <v>73</v>
      </c>
      <c r="D370" s="1" t="s">
        <v>74</v>
      </c>
      <c r="E370" s="1" t="s">
        <v>53</v>
      </c>
      <c r="F370" s="1" t="s">
        <v>23</v>
      </c>
      <c r="G370">
        <v>1.84</v>
      </c>
      <c r="H370">
        <v>5.9</v>
      </c>
      <c r="I370">
        <v>-0.3</v>
      </c>
      <c r="J370">
        <v>7.4</v>
      </c>
      <c r="K370">
        <v>67.3</v>
      </c>
      <c r="L370">
        <v>9</v>
      </c>
    </row>
    <row r="371" spans="1:12" x14ac:dyDescent="0.25">
      <c r="A371">
        <v>2022</v>
      </c>
      <c r="B371" s="1" t="s">
        <v>72</v>
      </c>
      <c r="C371" s="1" t="s">
        <v>73</v>
      </c>
      <c r="D371" s="1" t="s">
        <v>74</v>
      </c>
      <c r="E371" s="1" t="s">
        <v>53</v>
      </c>
      <c r="F371" s="1" t="s">
        <v>23</v>
      </c>
      <c r="G371">
        <v>5.18</v>
      </c>
      <c r="H371">
        <v>5.9</v>
      </c>
      <c r="I371">
        <v>0.27</v>
      </c>
      <c r="J371">
        <v>20.7</v>
      </c>
      <c r="K371">
        <v>88.7</v>
      </c>
      <c r="L371">
        <v>25</v>
      </c>
    </row>
    <row r="372" spans="1:12" x14ac:dyDescent="0.25">
      <c r="A372">
        <v>2023</v>
      </c>
      <c r="B372" s="1" t="s">
        <v>72</v>
      </c>
      <c r="C372" s="1" t="s">
        <v>73</v>
      </c>
      <c r="D372" s="1" t="s">
        <v>74</v>
      </c>
      <c r="E372" s="1" t="s">
        <v>53</v>
      </c>
      <c r="F372" s="1" t="s">
        <v>23</v>
      </c>
      <c r="G372">
        <v>7.53</v>
      </c>
      <c r="H372">
        <v>5.9</v>
      </c>
      <c r="I372">
        <v>0.85</v>
      </c>
      <c r="J372">
        <v>30.1</v>
      </c>
      <c r="K372">
        <v>84.7</v>
      </c>
      <c r="L372">
        <v>37</v>
      </c>
    </row>
    <row r="373" spans="1:12" x14ac:dyDescent="0.25">
      <c r="A373">
        <v>2024</v>
      </c>
      <c r="B373" s="1" t="s">
        <v>72</v>
      </c>
      <c r="C373" s="1" t="s">
        <v>73</v>
      </c>
      <c r="D373" s="1" t="s">
        <v>74</v>
      </c>
      <c r="E373" s="1" t="s">
        <v>53</v>
      </c>
      <c r="F373" s="1" t="s">
        <v>23</v>
      </c>
      <c r="G373">
        <v>8.34</v>
      </c>
      <c r="H373">
        <v>5.9</v>
      </c>
      <c r="I373">
        <v>1.02</v>
      </c>
      <c r="J373">
        <v>33.4</v>
      </c>
      <c r="K373">
        <v>87.2</v>
      </c>
      <c r="L373">
        <v>41</v>
      </c>
    </row>
    <row r="374" spans="1:12" x14ac:dyDescent="0.25">
      <c r="A374">
        <v>2025</v>
      </c>
      <c r="B374" s="1" t="s">
        <v>72</v>
      </c>
      <c r="C374" s="1" t="s">
        <v>73</v>
      </c>
      <c r="D374" s="1" t="s">
        <v>74</v>
      </c>
      <c r="E374" s="1" t="s">
        <v>53</v>
      </c>
      <c r="F374" s="1" t="s">
        <v>23</v>
      </c>
      <c r="G374">
        <v>9.52</v>
      </c>
      <c r="H374">
        <v>5.9</v>
      </c>
      <c r="I374">
        <v>1.06</v>
      </c>
      <c r="J374">
        <v>38.1</v>
      </c>
      <c r="K374">
        <v>87.7</v>
      </c>
      <c r="L374">
        <v>47</v>
      </c>
    </row>
    <row r="375" spans="1:12" x14ac:dyDescent="0.25">
      <c r="A375">
        <v>2026</v>
      </c>
      <c r="B375" s="1" t="s">
        <v>72</v>
      </c>
      <c r="C375" s="1" t="s">
        <v>73</v>
      </c>
      <c r="D375" s="1" t="s">
        <v>74</v>
      </c>
      <c r="E375" s="1" t="s">
        <v>53</v>
      </c>
      <c r="F375" s="1" t="s">
        <v>23</v>
      </c>
      <c r="G375">
        <v>9.7100000000000009</v>
      </c>
      <c r="H375">
        <v>5.9</v>
      </c>
      <c r="I375">
        <v>1.27</v>
      </c>
      <c r="J375">
        <v>38.799999999999997</v>
      </c>
      <c r="K375">
        <v>87</v>
      </c>
      <c r="L375">
        <v>48</v>
      </c>
    </row>
    <row r="376" spans="1:12" x14ac:dyDescent="0.25">
      <c r="A376">
        <v>2010</v>
      </c>
      <c r="B376" s="1" t="s">
        <v>75</v>
      </c>
      <c r="C376" s="1" t="s">
        <v>76</v>
      </c>
      <c r="D376" s="1" t="s">
        <v>77</v>
      </c>
      <c r="E376" s="1" t="s">
        <v>53</v>
      </c>
      <c r="F376" s="1" t="s">
        <v>23</v>
      </c>
      <c r="G376">
        <v>1.17</v>
      </c>
      <c r="H376">
        <v>5.9</v>
      </c>
      <c r="I376">
        <v>0.13</v>
      </c>
      <c r="J376">
        <v>4.7</v>
      </c>
      <c r="K376">
        <v>86.6</v>
      </c>
      <c r="L376">
        <v>5</v>
      </c>
    </row>
    <row r="377" spans="1:12" x14ac:dyDescent="0.25">
      <c r="A377">
        <v>2011</v>
      </c>
      <c r="B377" s="1" t="s">
        <v>75</v>
      </c>
      <c r="C377" s="1" t="s">
        <v>76</v>
      </c>
      <c r="D377" s="1" t="s">
        <v>77</v>
      </c>
      <c r="E377" s="1" t="s">
        <v>53</v>
      </c>
      <c r="F377" s="1" t="s">
        <v>23</v>
      </c>
      <c r="G377">
        <v>1.29</v>
      </c>
      <c r="H377">
        <v>5.9</v>
      </c>
      <c r="I377">
        <v>0.21</v>
      </c>
      <c r="J377">
        <v>5.2</v>
      </c>
      <c r="K377">
        <v>86.8</v>
      </c>
      <c r="L377">
        <v>6</v>
      </c>
    </row>
    <row r="378" spans="1:12" x14ac:dyDescent="0.25">
      <c r="A378">
        <v>2012</v>
      </c>
      <c r="B378" s="1" t="s">
        <v>75</v>
      </c>
      <c r="C378" s="1" t="s">
        <v>76</v>
      </c>
      <c r="D378" s="1" t="s">
        <v>77</v>
      </c>
      <c r="E378" s="1" t="s">
        <v>53</v>
      </c>
      <c r="F378" s="1" t="s">
        <v>23</v>
      </c>
      <c r="G378">
        <v>1.39</v>
      </c>
      <c r="H378">
        <v>5.9</v>
      </c>
      <c r="I378">
        <v>0.09</v>
      </c>
      <c r="J378">
        <v>5.6</v>
      </c>
      <c r="K378">
        <v>85.2</v>
      </c>
      <c r="L378">
        <v>6</v>
      </c>
    </row>
    <row r="379" spans="1:12" x14ac:dyDescent="0.25">
      <c r="A379">
        <v>2013</v>
      </c>
      <c r="B379" s="1" t="s">
        <v>75</v>
      </c>
      <c r="C379" s="1" t="s">
        <v>76</v>
      </c>
      <c r="D379" s="1" t="s">
        <v>77</v>
      </c>
      <c r="E379" s="1" t="s">
        <v>53</v>
      </c>
      <c r="F379" s="1" t="s">
        <v>23</v>
      </c>
      <c r="G379">
        <v>1.49</v>
      </c>
      <c r="H379">
        <v>5.9</v>
      </c>
      <c r="I379">
        <v>0.15</v>
      </c>
      <c r="J379">
        <v>6</v>
      </c>
      <c r="K379">
        <v>89.8</v>
      </c>
      <c r="L379">
        <v>7</v>
      </c>
    </row>
    <row r="380" spans="1:12" x14ac:dyDescent="0.25">
      <c r="A380">
        <v>2014</v>
      </c>
      <c r="B380" s="1" t="s">
        <v>75</v>
      </c>
      <c r="C380" s="1" t="s">
        <v>76</v>
      </c>
      <c r="D380" s="1" t="s">
        <v>77</v>
      </c>
      <c r="E380" s="1" t="s">
        <v>53</v>
      </c>
      <c r="F380" s="1" t="s">
        <v>23</v>
      </c>
      <c r="G380">
        <v>1.59</v>
      </c>
      <c r="H380">
        <v>5.9</v>
      </c>
      <c r="I380">
        <v>0.24</v>
      </c>
      <c r="J380">
        <v>6.4</v>
      </c>
      <c r="K380">
        <v>87.1</v>
      </c>
      <c r="L380">
        <v>7</v>
      </c>
    </row>
    <row r="381" spans="1:12" x14ac:dyDescent="0.25">
      <c r="A381">
        <v>2015</v>
      </c>
      <c r="B381" s="1" t="s">
        <v>75</v>
      </c>
      <c r="C381" s="1" t="s">
        <v>76</v>
      </c>
      <c r="D381" s="1" t="s">
        <v>77</v>
      </c>
      <c r="E381" s="1" t="s">
        <v>53</v>
      </c>
      <c r="F381" s="1" t="s">
        <v>23</v>
      </c>
      <c r="G381">
        <v>1.7</v>
      </c>
      <c r="H381">
        <v>5.9</v>
      </c>
      <c r="I381">
        <v>0.2</v>
      </c>
      <c r="J381">
        <v>6.8</v>
      </c>
      <c r="K381">
        <v>87</v>
      </c>
      <c r="L381">
        <v>8</v>
      </c>
    </row>
    <row r="382" spans="1:12" x14ac:dyDescent="0.25">
      <c r="A382">
        <v>2016</v>
      </c>
      <c r="B382" s="1" t="s">
        <v>75</v>
      </c>
      <c r="C382" s="1" t="s">
        <v>76</v>
      </c>
      <c r="D382" s="1" t="s">
        <v>77</v>
      </c>
      <c r="E382" s="1" t="s">
        <v>53</v>
      </c>
      <c r="F382" s="1" t="s">
        <v>23</v>
      </c>
      <c r="G382">
        <v>2.25</v>
      </c>
      <c r="H382">
        <v>5.9</v>
      </c>
      <c r="I382">
        <v>0.14000000000000001</v>
      </c>
      <c r="J382">
        <v>9</v>
      </c>
      <c r="K382">
        <v>83</v>
      </c>
      <c r="L382">
        <v>11</v>
      </c>
    </row>
    <row r="383" spans="1:12" x14ac:dyDescent="0.25">
      <c r="A383">
        <v>2017</v>
      </c>
      <c r="B383" s="1" t="s">
        <v>75</v>
      </c>
      <c r="C383" s="1" t="s">
        <v>76</v>
      </c>
      <c r="D383" s="1" t="s">
        <v>77</v>
      </c>
      <c r="E383" s="1" t="s">
        <v>53</v>
      </c>
      <c r="F383" s="1" t="s">
        <v>23</v>
      </c>
      <c r="G383">
        <v>2.5299999999999998</v>
      </c>
      <c r="H383">
        <v>5.9</v>
      </c>
      <c r="I383">
        <v>0.3</v>
      </c>
      <c r="J383">
        <v>10.1</v>
      </c>
      <c r="K383">
        <v>88.4</v>
      </c>
      <c r="L383">
        <v>12</v>
      </c>
    </row>
    <row r="384" spans="1:12" x14ac:dyDescent="0.25">
      <c r="A384">
        <v>2018</v>
      </c>
      <c r="B384" s="1" t="s">
        <v>75</v>
      </c>
      <c r="C384" s="1" t="s">
        <v>76</v>
      </c>
      <c r="D384" s="1" t="s">
        <v>77</v>
      </c>
      <c r="E384" s="1" t="s">
        <v>53</v>
      </c>
      <c r="F384" s="1" t="s">
        <v>23</v>
      </c>
      <c r="G384">
        <v>3.04</v>
      </c>
      <c r="H384">
        <v>5.9</v>
      </c>
      <c r="I384">
        <v>0.34</v>
      </c>
      <c r="J384">
        <v>12.2</v>
      </c>
      <c r="K384">
        <v>89</v>
      </c>
      <c r="L384">
        <v>15</v>
      </c>
    </row>
    <row r="385" spans="1:12" x14ac:dyDescent="0.25">
      <c r="A385">
        <v>2019</v>
      </c>
      <c r="B385" s="1" t="s">
        <v>75</v>
      </c>
      <c r="C385" s="1" t="s">
        <v>76</v>
      </c>
      <c r="D385" s="1" t="s">
        <v>77</v>
      </c>
      <c r="E385" s="1" t="s">
        <v>53</v>
      </c>
      <c r="F385" s="1" t="s">
        <v>23</v>
      </c>
      <c r="G385">
        <v>3.2</v>
      </c>
      <c r="H385">
        <v>5.9</v>
      </c>
      <c r="I385">
        <v>0.4</v>
      </c>
      <c r="J385">
        <v>12.8</v>
      </c>
      <c r="K385">
        <v>88.9</v>
      </c>
      <c r="L385">
        <v>15</v>
      </c>
    </row>
    <row r="386" spans="1:12" x14ac:dyDescent="0.25">
      <c r="A386">
        <v>2020</v>
      </c>
      <c r="B386" s="1" t="s">
        <v>75</v>
      </c>
      <c r="C386" s="1" t="s">
        <v>76</v>
      </c>
      <c r="D386" s="1" t="s">
        <v>77</v>
      </c>
      <c r="E386" s="1" t="s">
        <v>53</v>
      </c>
      <c r="F386" s="1" t="s">
        <v>23</v>
      </c>
      <c r="G386">
        <v>0.71</v>
      </c>
      <c r="H386">
        <v>5.9</v>
      </c>
      <c r="I386">
        <v>-0.26</v>
      </c>
      <c r="J386">
        <v>2.8</v>
      </c>
      <c r="K386">
        <v>56.4</v>
      </c>
      <c r="L386">
        <v>3</v>
      </c>
    </row>
    <row r="387" spans="1:12" x14ac:dyDescent="0.25">
      <c r="A387">
        <v>2021</v>
      </c>
      <c r="B387" s="1" t="s">
        <v>75</v>
      </c>
      <c r="C387" s="1" t="s">
        <v>76</v>
      </c>
      <c r="D387" s="1" t="s">
        <v>77</v>
      </c>
      <c r="E387" s="1" t="s">
        <v>53</v>
      </c>
      <c r="F387" s="1" t="s">
        <v>23</v>
      </c>
      <c r="G387">
        <v>0.5</v>
      </c>
      <c r="H387">
        <v>5.9</v>
      </c>
      <c r="I387">
        <v>-0.09</v>
      </c>
      <c r="J387">
        <v>2</v>
      </c>
      <c r="K387">
        <v>72.900000000000006</v>
      </c>
      <c r="L387">
        <v>2</v>
      </c>
    </row>
    <row r="388" spans="1:12" x14ac:dyDescent="0.25">
      <c r="A388">
        <v>2022</v>
      </c>
      <c r="B388" s="1" t="s">
        <v>75</v>
      </c>
      <c r="C388" s="1" t="s">
        <v>76</v>
      </c>
      <c r="D388" s="1" t="s">
        <v>77</v>
      </c>
      <c r="E388" s="1" t="s">
        <v>53</v>
      </c>
      <c r="F388" s="1" t="s">
        <v>23</v>
      </c>
      <c r="G388">
        <v>1.58</v>
      </c>
      <c r="H388">
        <v>5.9</v>
      </c>
      <c r="I388">
        <v>-0.02</v>
      </c>
      <c r="J388">
        <v>6.3</v>
      </c>
      <c r="K388">
        <v>84.6</v>
      </c>
      <c r="L388">
        <v>7</v>
      </c>
    </row>
    <row r="389" spans="1:12" x14ac:dyDescent="0.25">
      <c r="A389">
        <v>2023</v>
      </c>
      <c r="B389" s="1" t="s">
        <v>75</v>
      </c>
      <c r="C389" s="1" t="s">
        <v>76</v>
      </c>
      <c r="D389" s="1" t="s">
        <v>77</v>
      </c>
      <c r="E389" s="1" t="s">
        <v>53</v>
      </c>
      <c r="F389" s="1" t="s">
        <v>23</v>
      </c>
      <c r="G389">
        <v>3.96</v>
      </c>
      <c r="H389">
        <v>5.9</v>
      </c>
      <c r="I389">
        <v>0.45</v>
      </c>
      <c r="J389">
        <v>15.8</v>
      </c>
      <c r="K389">
        <v>84</v>
      </c>
      <c r="L389">
        <v>19</v>
      </c>
    </row>
    <row r="390" spans="1:12" x14ac:dyDescent="0.25">
      <c r="A390">
        <v>2024</v>
      </c>
      <c r="B390" s="1" t="s">
        <v>75</v>
      </c>
      <c r="C390" s="1" t="s">
        <v>76</v>
      </c>
      <c r="D390" s="1" t="s">
        <v>77</v>
      </c>
      <c r="E390" s="1" t="s">
        <v>53</v>
      </c>
      <c r="F390" s="1" t="s">
        <v>23</v>
      </c>
      <c r="G390">
        <v>4.37</v>
      </c>
      <c r="H390">
        <v>5.9</v>
      </c>
      <c r="I390">
        <v>0.43</v>
      </c>
      <c r="J390">
        <v>17.5</v>
      </c>
      <c r="K390">
        <v>91.9</v>
      </c>
      <c r="L390">
        <v>21</v>
      </c>
    </row>
    <row r="391" spans="1:12" x14ac:dyDescent="0.25">
      <c r="A391">
        <v>2025</v>
      </c>
      <c r="B391" s="1" t="s">
        <v>75</v>
      </c>
      <c r="C391" s="1" t="s">
        <v>76</v>
      </c>
      <c r="D391" s="1" t="s">
        <v>77</v>
      </c>
      <c r="E391" s="1" t="s">
        <v>53</v>
      </c>
      <c r="F391" s="1" t="s">
        <v>23</v>
      </c>
      <c r="G391">
        <v>5.12</v>
      </c>
      <c r="H391">
        <v>5.9</v>
      </c>
      <c r="I391">
        <v>0.56000000000000005</v>
      </c>
      <c r="J391">
        <v>20.5</v>
      </c>
      <c r="K391">
        <v>86.3</v>
      </c>
      <c r="L391">
        <v>25</v>
      </c>
    </row>
    <row r="392" spans="1:12" x14ac:dyDescent="0.25">
      <c r="A392">
        <v>2026</v>
      </c>
      <c r="B392" s="1" t="s">
        <v>75</v>
      </c>
      <c r="C392" s="1" t="s">
        <v>76</v>
      </c>
      <c r="D392" s="1" t="s">
        <v>77</v>
      </c>
      <c r="E392" s="1" t="s">
        <v>53</v>
      </c>
      <c r="F392" s="1" t="s">
        <v>23</v>
      </c>
      <c r="G392">
        <v>5.0199999999999996</v>
      </c>
      <c r="H392">
        <v>5.9</v>
      </c>
      <c r="I392">
        <v>0.36</v>
      </c>
      <c r="J392">
        <v>20.100000000000001</v>
      </c>
      <c r="K392">
        <v>86.8</v>
      </c>
      <c r="L392">
        <v>25</v>
      </c>
    </row>
    <row r="393" spans="1:12" x14ac:dyDescent="0.25">
      <c r="A393">
        <v>2010</v>
      </c>
      <c r="B393" s="1" t="s">
        <v>78</v>
      </c>
      <c r="C393" s="1" t="s">
        <v>79</v>
      </c>
      <c r="D393" s="1" t="s">
        <v>80</v>
      </c>
      <c r="E393" s="1" t="s">
        <v>81</v>
      </c>
      <c r="F393" s="1" t="s">
        <v>16</v>
      </c>
      <c r="G393">
        <v>13.59</v>
      </c>
      <c r="H393">
        <v>5.9</v>
      </c>
      <c r="I393">
        <v>0.79</v>
      </c>
      <c r="J393">
        <v>20.399999999999999</v>
      </c>
      <c r="K393">
        <v>79.8</v>
      </c>
      <c r="L393">
        <v>67</v>
      </c>
    </row>
    <row r="394" spans="1:12" x14ac:dyDescent="0.25">
      <c r="A394">
        <v>2011</v>
      </c>
      <c r="B394" s="1" t="s">
        <v>78</v>
      </c>
      <c r="C394" s="1" t="s">
        <v>79</v>
      </c>
      <c r="D394" s="1" t="s">
        <v>80</v>
      </c>
      <c r="E394" s="1" t="s">
        <v>81</v>
      </c>
      <c r="F394" s="1" t="s">
        <v>16</v>
      </c>
      <c r="G394">
        <v>15.64</v>
      </c>
      <c r="H394">
        <v>5.9</v>
      </c>
      <c r="I394">
        <v>1</v>
      </c>
      <c r="J394">
        <v>23.5</v>
      </c>
      <c r="K394">
        <v>83.7</v>
      </c>
      <c r="L394">
        <v>78</v>
      </c>
    </row>
    <row r="395" spans="1:12" x14ac:dyDescent="0.25">
      <c r="A395">
        <v>2012</v>
      </c>
      <c r="B395" s="1" t="s">
        <v>78</v>
      </c>
      <c r="C395" s="1" t="s">
        <v>79</v>
      </c>
      <c r="D395" s="1" t="s">
        <v>80</v>
      </c>
      <c r="E395" s="1" t="s">
        <v>81</v>
      </c>
      <c r="F395" s="1" t="s">
        <v>16</v>
      </c>
      <c r="G395">
        <v>18.23</v>
      </c>
      <c r="H395">
        <v>5.9</v>
      </c>
      <c r="I395">
        <v>0.49</v>
      </c>
      <c r="J395">
        <v>27.3</v>
      </c>
      <c r="K395">
        <v>84.7</v>
      </c>
      <c r="L395">
        <v>91</v>
      </c>
    </row>
    <row r="396" spans="1:12" x14ac:dyDescent="0.25">
      <c r="A396">
        <v>2013</v>
      </c>
      <c r="B396" s="1" t="s">
        <v>78</v>
      </c>
      <c r="C396" s="1" t="s">
        <v>79</v>
      </c>
      <c r="D396" s="1" t="s">
        <v>80</v>
      </c>
      <c r="E396" s="1" t="s">
        <v>81</v>
      </c>
      <c r="F396" s="1" t="s">
        <v>16</v>
      </c>
      <c r="G396">
        <v>19.53</v>
      </c>
      <c r="H396">
        <v>5.9</v>
      </c>
      <c r="I396">
        <v>1.48</v>
      </c>
      <c r="J396">
        <v>29.3</v>
      </c>
      <c r="K396">
        <v>83</v>
      </c>
      <c r="L396">
        <v>97</v>
      </c>
    </row>
    <row r="397" spans="1:12" x14ac:dyDescent="0.25">
      <c r="A397">
        <v>2014</v>
      </c>
      <c r="B397" s="1" t="s">
        <v>78</v>
      </c>
      <c r="C397" s="1" t="s">
        <v>79</v>
      </c>
      <c r="D397" s="1" t="s">
        <v>80</v>
      </c>
      <c r="E397" s="1" t="s">
        <v>81</v>
      </c>
      <c r="F397" s="1" t="s">
        <v>16</v>
      </c>
      <c r="G397">
        <v>21.11</v>
      </c>
      <c r="H397">
        <v>5.9</v>
      </c>
      <c r="I397">
        <v>1.1000000000000001</v>
      </c>
      <c r="J397">
        <v>31.7</v>
      </c>
      <c r="K397">
        <v>83.7</v>
      </c>
      <c r="L397">
        <v>105</v>
      </c>
    </row>
    <row r="398" spans="1:12" x14ac:dyDescent="0.25">
      <c r="A398">
        <v>2015</v>
      </c>
      <c r="B398" s="1" t="s">
        <v>78</v>
      </c>
      <c r="C398" s="1" t="s">
        <v>79</v>
      </c>
      <c r="D398" s="1" t="s">
        <v>80</v>
      </c>
      <c r="E398" s="1" t="s">
        <v>81</v>
      </c>
      <c r="F398" s="1" t="s">
        <v>16</v>
      </c>
      <c r="G398">
        <v>24.45</v>
      </c>
      <c r="H398">
        <v>5.9</v>
      </c>
      <c r="I398">
        <v>1.38</v>
      </c>
      <c r="J398">
        <v>36.700000000000003</v>
      </c>
      <c r="K398">
        <v>86.1</v>
      </c>
      <c r="L398">
        <v>122</v>
      </c>
    </row>
    <row r="399" spans="1:12" x14ac:dyDescent="0.25">
      <c r="A399">
        <v>2016</v>
      </c>
      <c r="B399" s="1" t="s">
        <v>78</v>
      </c>
      <c r="C399" s="1" t="s">
        <v>79</v>
      </c>
      <c r="D399" s="1" t="s">
        <v>80</v>
      </c>
      <c r="E399" s="1" t="s">
        <v>81</v>
      </c>
      <c r="F399" s="1" t="s">
        <v>16</v>
      </c>
      <c r="G399">
        <v>25.15</v>
      </c>
      <c r="H399">
        <v>5.9</v>
      </c>
      <c r="I399">
        <v>1.35</v>
      </c>
      <c r="J399">
        <v>37.700000000000003</v>
      </c>
      <c r="K399">
        <v>84.5</v>
      </c>
      <c r="L399">
        <v>125</v>
      </c>
    </row>
    <row r="400" spans="1:12" x14ac:dyDescent="0.25">
      <c r="A400">
        <v>2017</v>
      </c>
      <c r="B400" s="1" t="s">
        <v>78</v>
      </c>
      <c r="C400" s="1" t="s">
        <v>79</v>
      </c>
      <c r="D400" s="1" t="s">
        <v>80</v>
      </c>
      <c r="E400" s="1" t="s">
        <v>81</v>
      </c>
      <c r="F400" s="1" t="s">
        <v>16</v>
      </c>
      <c r="G400">
        <v>26.28</v>
      </c>
      <c r="H400">
        <v>5.9</v>
      </c>
      <c r="I400">
        <v>2.86</v>
      </c>
      <c r="J400">
        <v>39.4</v>
      </c>
      <c r="K400">
        <v>80.5</v>
      </c>
      <c r="L400">
        <v>131</v>
      </c>
    </row>
    <row r="401" spans="1:12" x14ac:dyDescent="0.25">
      <c r="A401">
        <v>2018</v>
      </c>
      <c r="B401" s="1" t="s">
        <v>78</v>
      </c>
      <c r="C401" s="1" t="s">
        <v>79</v>
      </c>
      <c r="D401" s="1" t="s">
        <v>80</v>
      </c>
      <c r="E401" s="1" t="s">
        <v>81</v>
      </c>
      <c r="F401" s="1" t="s">
        <v>16</v>
      </c>
      <c r="G401">
        <v>24.51</v>
      </c>
      <c r="H401">
        <v>5.9</v>
      </c>
      <c r="I401">
        <v>2.38</v>
      </c>
      <c r="J401">
        <v>36.799999999999997</v>
      </c>
      <c r="K401">
        <v>80.900000000000006</v>
      </c>
      <c r="L401">
        <v>122</v>
      </c>
    </row>
    <row r="402" spans="1:12" x14ac:dyDescent="0.25">
      <c r="A402">
        <v>2019</v>
      </c>
      <c r="B402" s="1" t="s">
        <v>78</v>
      </c>
      <c r="C402" s="1" t="s">
        <v>79</v>
      </c>
      <c r="D402" s="1" t="s">
        <v>80</v>
      </c>
      <c r="E402" s="1" t="s">
        <v>81</v>
      </c>
      <c r="F402" s="1" t="s">
        <v>16</v>
      </c>
      <c r="G402">
        <v>25.85</v>
      </c>
      <c r="H402">
        <v>5.9</v>
      </c>
      <c r="I402">
        <v>1.24</v>
      </c>
      <c r="J402">
        <v>38.799999999999997</v>
      </c>
      <c r="K402">
        <v>83.8</v>
      </c>
      <c r="L402">
        <v>129</v>
      </c>
    </row>
    <row r="403" spans="1:12" x14ac:dyDescent="0.25">
      <c r="A403">
        <v>2020</v>
      </c>
      <c r="B403" s="1" t="s">
        <v>78</v>
      </c>
      <c r="C403" s="1" t="s">
        <v>79</v>
      </c>
      <c r="D403" s="1" t="s">
        <v>80</v>
      </c>
      <c r="E403" s="1" t="s">
        <v>81</v>
      </c>
      <c r="F403" s="1" t="s">
        <v>16</v>
      </c>
      <c r="G403">
        <v>8.3699999999999992</v>
      </c>
      <c r="H403">
        <v>5.9</v>
      </c>
      <c r="I403">
        <v>-3.07</v>
      </c>
      <c r="J403">
        <v>12.6</v>
      </c>
      <c r="K403">
        <v>53.7</v>
      </c>
      <c r="L403">
        <v>41</v>
      </c>
    </row>
    <row r="404" spans="1:12" x14ac:dyDescent="0.25">
      <c r="A404">
        <v>2021</v>
      </c>
      <c r="B404" s="1" t="s">
        <v>78</v>
      </c>
      <c r="C404" s="1" t="s">
        <v>79</v>
      </c>
      <c r="D404" s="1" t="s">
        <v>80</v>
      </c>
      <c r="E404" s="1" t="s">
        <v>81</v>
      </c>
      <c r="F404" s="1" t="s">
        <v>16</v>
      </c>
      <c r="G404">
        <v>13.41</v>
      </c>
      <c r="H404">
        <v>5.9</v>
      </c>
      <c r="I404">
        <v>-2.71</v>
      </c>
      <c r="J404">
        <v>20.100000000000001</v>
      </c>
      <c r="K404">
        <v>74.599999999999994</v>
      </c>
      <c r="L404">
        <v>67</v>
      </c>
    </row>
    <row r="405" spans="1:12" x14ac:dyDescent="0.25">
      <c r="A405">
        <v>2022</v>
      </c>
      <c r="B405" s="1" t="s">
        <v>78</v>
      </c>
      <c r="C405" s="1" t="s">
        <v>79</v>
      </c>
      <c r="D405" s="1" t="s">
        <v>80</v>
      </c>
      <c r="E405" s="1" t="s">
        <v>81</v>
      </c>
      <c r="F405" s="1" t="s">
        <v>16</v>
      </c>
      <c r="G405">
        <v>23.21</v>
      </c>
      <c r="H405">
        <v>5.9</v>
      </c>
      <c r="I405">
        <v>0.98</v>
      </c>
      <c r="J405">
        <v>34.799999999999997</v>
      </c>
      <c r="K405">
        <v>82</v>
      </c>
      <c r="L405">
        <v>116</v>
      </c>
    </row>
    <row r="406" spans="1:12" x14ac:dyDescent="0.25">
      <c r="A406">
        <v>2023</v>
      </c>
      <c r="B406" s="1" t="s">
        <v>78</v>
      </c>
      <c r="C406" s="1" t="s">
        <v>79</v>
      </c>
      <c r="D406" s="1" t="s">
        <v>80</v>
      </c>
      <c r="E406" s="1" t="s">
        <v>81</v>
      </c>
      <c r="F406" s="1" t="s">
        <v>16</v>
      </c>
      <c r="G406">
        <v>32.619999999999997</v>
      </c>
      <c r="H406">
        <v>5.9</v>
      </c>
      <c r="I406">
        <v>2.0299999999999998</v>
      </c>
      <c r="J406">
        <v>48.9</v>
      </c>
      <c r="K406">
        <v>77.7</v>
      </c>
      <c r="L406">
        <v>163</v>
      </c>
    </row>
    <row r="407" spans="1:12" x14ac:dyDescent="0.25">
      <c r="A407">
        <v>2024</v>
      </c>
      <c r="B407" s="1" t="s">
        <v>78</v>
      </c>
      <c r="C407" s="1" t="s">
        <v>79</v>
      </c>
      <c r="D407" s="1" t="s">
        <v>80</v>
      </c>
      <c r="E407" s="1" t="s">
        <v>81</v>
      </c>
      <c r="F407" s="1" t="s">
        <v>16</v>
      </c>
      <c r="G407">
        <v>31.66</v>
      </c>
      <c r="H407">
        <v>5.9</v>
      </c>
      <c r="I407">
        <v>1.1000000000000001</v>
      </c>
      <c r="J407">
        <v>47.5</v>
      </c>
      <c r="K407">
        <v>78.5</v>
      </c>
      <c r="L407">
        <v>158</v>
      </c>
    </row>
    <row r="408" spans="1:12" x14ac:dyDescent="0.25">
      <c r="A408">
        <v>2025</v>
      </c>
      <c r="B408" s="1" t="s">
        <v>78</v>
      </c>
      <c r="C408" s="1" t="s">
        <v>79</v>
      </c>
      <c r="D408" s="1" t="s">
        <v>80</v>
      </c>
      <c r="E408" s="1" t="s">
        <v>81</v>
      </c>
      <c r="F408" s="1" t="s">
        <v>16</v>
      </c>
      <c r="G408">
        <v>33.53</v>
      </c>
      <c r="H408">
        <v>5.9</v>
      </c>
      <c r="I408">
        <v>3.79</v>
      </c>
      <c r="J408">
        <v>50.3</v>
      </c>
      <c r="K408">
        <v>82.9</v>
      </c>
      <c r="L408">
        <v>167</v>
      </c>
    </row>
    <row r="409" spans="1:12" x14ac:dyDescent="0.25">
      <c r="A409">
        <v>2026</v>
      </c>
      <c r="B409" s="1" t="s">
        <v>78</v>
      </c>
      <c r="C409" s="1" t="s">
        <v>79</v>
      </c>
      <c r="D409" s="1" t="s">
        <v>80</v>
      </c>
      <c r="E409" s="1" t="s">
        <v>81</v>
      </c>
      <c r="F409" s="1" t="s">
        <v>16</v>
      </c>
      <c r="G409">
        <v>37.94</v>
      </c>
      <c r="H409">
        <v>5.9</v>
      </c>
      <c r="I409">
        <v>2.67</v>
      </c>
      <c r="J409">
        <v>56.9</v>
      </c>
      <c r="K409">
        <v>84.6</v>
      </c>
      <c r="L409">
        <v>189</v>
      </c>
    </row>
    <row r="410" spans="1:12" x14ac:dyDescent="0.25">
      <c r="A410">
        <v>2010</v>
      </c>
      <c r="B410" s="1" t="s">
        <v>82</v>
      </c>
      <c r="C410" s="1" t="s">
        <v>83</v>
      </c>
      <c r="D410" s="1" t="s">
        <v>84</v>
      </c>
      <c r="E410" s="1" t="s">
        <v>81</v>
      </c>
      <c r="F410" s="1" t="s">
        <v>16</v>
      </c>
      <c r="G410">
        <v>7.2</v>
      </c>
      <c r="H410">
        <v>5.9</v>
      </c>
      <c r="I410">
        <v>0.53</v>
      </c>
      <c r="J410">
        <v>10.8</v>
      </c>
      <c r="K410">
        <v>84.5</v>
      </c>
      <c r="L410">
        <v>36</v>
      </c>
    </row>
    <row r="411" spans="1:12" x14ac:dyDescent="0.25">
      <c r="A411">
        <v>2011</v>
      </c>
      <c r="B411" s="1" t="s">
        <v>82</v>
      </c>
      <c r="C411" s="1" t="s">
        <v>83</v>
      </c>
      <c r="D411" s="1" t="s">
        <v>84</v>
      </c>
      <c r="E411" s="1" t="s">
        <v>81</v>
      </c>
      <c r="F411" s="1" t="s">
        <v>16</v>
      </c>
      <c r="G411">
        <v>7.69</v>
      </c>
      <c r="H411">
        <v>5.9</v>
      </c>
      <c r="I411">
        <v>0.56999999999999995</v>
      </c>
      <c r="J411">
        <v>11.5</v>
      </c>
      <c r="K411">
        <v>84.1</v>
      </c>
      <c r="L411">
        <v>38</v>
      </c>
    </row>
    <row r="412" spans="1:12" x14ac:dyDescent="0.25">
      <c r="A412">
        <v>2012</v>
      </c>
      <c r="B412" s="1" t="s">
        <v>82</v>
      </c>
      <c r="C412" s="1" t="s">
        <v>83</v>
      </c>
      <c r="D412" s="1" t="s">
        <v>84</v>
      </c>
      <c r="E412" s="1" t="s">
        <v>81</v>
      </c>
      <c r="F412" s="1" t="s">
        <v>16</v>
      </c>
      <c r="G412">
        <v>8.11</v>
      </c>
      <c r="H412">
        <v>5.9</v>
      </c>
      <c r="I412">
        <v>0.26</v>
      </c>
      <c r="J412">
        <v>12.2</v>
      </c>
      <c r="K412">
        <v>80.599999999999994</v>
      </c>
      <c r="L412">
        <v>40</v>
      </c>
    </row>
    <row r="413" spans="1:12" x14ac:dyDescent="0.25">
      <c r="A413">
        <v>2013</v>
      </c>
      <c r="B413" s="1" t="s">
        <v>82</v>
      </c>
      <c r="C413" s="1" t="s">
        <v>83</v>
      </c>
      <c r="D413" s="1" t="s">
        <v>84</v>
      </c>
      <c r="E413" s="1" t="s">
        <v>81</v>
      </c>
      <c r="F413" s="1" t="s">
        <v>16</v>
      </c>
      <c r="G413">
        <v>8.68</v>
      </c>
      <c r="H413">
        <v>5.9</v>
      </c>
      <c r="I413">
        <v>0.59</v>
      </c>
      <c r="J413">
        <v>13</v>
      </c>
      <c r="K413">
        <v>81.400000000000006</v>
      </c>
      <c r="L413">
        <v>43</v>
      </c>
    </row>
    <row r="414" spans="1:12" x14ac:dyDescent="0.25">
      <c r="A414">
        <v>2014</v>
      </c>
      <c r="B414" s="1" t="s">
        <v>82</v>
      </c>
      <c r="C414" s="1" t="s">
        <v>83</v>
      </c>
      <c r="D414" s="1" t="s">
        <v>84</v>
      </c>
      <c r="E414" s="1" t="s">
        <v>81</v>
      </c>
      <c r="F414" s="1" t="s">
        <v>16</v>
      </c>
      <c r="G414">
        <v>9.09</v>
      </c>
      <c r="H414">
        <v>5.9</v>
      </c>
      <c r="I414">
        <v>0.67</v>
      </c>
      <c r="J414">
        <v>13.6</v>
      </c>
      <c r="K414">
        <v>84.2</v>
      </c>
      <c r="L414">
        <v>45</v>
      </c>
    </row>
    <row r="415" spans="1:12" x14ac:dyDescent="0.25">
      <c r="A415">
        <v>2015</v>
      </c>
      <c r="B415" s="1" t="s">
        <v>82</v>
      </c>
      <c r="C415" s="1" t="s">
        <v>83</v>
      </c>
      <c r="D415" s="1" t="s">
        <v>84</v>
      </c>
      <c r="E415" s="1" t="s">
        <v>81</v>
      </c>
      <c r="F415" s="1" t="s">
        <v>16</v>
      </c>
      <c r="G415">
        <v>9.9499999999999993</v>
      </c>
      <c r="H415">
        <v>5.9</v>
      </c>
      <c r="I415">
        <v>0.91</v>
      </c>
      <c r="J415">
        <v>14.9</v>
      </c>
      <c r="K415">
        <v>81</v>
      </c>
      <c r="L415">
        <v>49</v>
      </c>
    </row>
    <row r="416" spans="1:12" x14ac:dyDescent="0.25">
      <c r="A416">
        <v>2016</v>
      </c>
      <c r="B416" s="1" t="s">
        <v>82</v>
      </c>
      <c r="C416" s="1" t="s">
        <v>83</v>
      </c>
      <c r="D416" s="1" t="s">
        <v>84</v>
      </c>
      <c r="E416" s="1" t="s">
        <v>81</v>
      </c>
      <c r="F416" s="1" t="s">
        <v>16</v>
      </c>
      <c r="G416">
        <v>10.97</v>
      </c>
      <c r="H416">
        <v>5.9</v>
      </c>
      <c r="I416">
        <v>0.51</v>
      </c>
      <c r="J416">
        <v>16.5</v>
      </c>
      <c r="K416">
        <v>85.1</v>
      </c>
      <c r="L416">
        <v>54</v>
      </c>
    </row>
    <row r="417" spans="1:12" x14ac:dyDescent="0.25">
      <c r="A417">
        <v>2017</v>
      </c>
      <c r="B417" s="1" t="s">
        <v>82</v>
      </c>
      <c r="C417" s="1" t="s">
        <v>83</v>
      </c>
      <c r="D417" s="1" t="s">
        <v>84</v>
      </c>
      <c r="E417" s="1" t="s">
        <v>81</v>
      </c>
      <c r="F417" s="1" t="s">
        <v>16</v>
      </c>
      <c r="G417">
        <v>11.39</v>
      </c>
      <c r="H417">
        <v>5.9</v>
      </c>
      <c r="I417">
        <v>0.56999999999999995</v>
      </c>
      <c r="J417">
        <v>17.100000000000001</v>
      </c>
      <c r="K417">
        <v>79.400000000000006</v>
      </c>
      <c r="L417">
        <v>56</v>
      </c>
    </row>
    <row r="418" spans="1:12" x14ac:dyDescent="0.25">
      <c r="A418">
        <v>2018</v>
      </c>
      <c r="B418" s="1" t="s">
        <v>82</v>
      </c>
      <c r="C418" s="1" t="s">
        <v>83</v>
      </c>
      <c r="D418" s="1" t="s">
        <v>84</v>
      </c>
      <c r="E418" s="1" t="s">
        <v>81</v>
      </c>
      <c r="F418" s="1" t="s">
        <v>16</v>
      </c>
      <c r="G418">
        <v>12.24</v>
      </c>
      <c r="H418">
        <v>5.9</v>
      </c>
      <c r="I418">
        <v>0.26</v>
      </c>
      <c r="J418">
        <v>18.399999999999999</v>
      </c>
      <c r="K418">
        <v>84.9</v>
      </c>
      <c r="L418">
        <v>61</v>
      </c>
    </row>
    <row r="419" spans="1:12" x14ac:dyDescent="0.25">
      <c r="A419">
        <v>2019</v>
      </c>
      <c r="B419" s="1" t="s">
        <v>82</v>
      </c>
      <c r="C419" s="1" t="s">
        <v>83</v>
      </c>
      <c r="D419" s="1" t="s">
        <v>84</v>
      </c>
      <c r="E419" s="1" t="s">
        <v>81</v>
      </c>
      <c r="F419" s="1" t="s">
        <v>16</v>
      </c>
      <c r="G419">
        <v>14.86</v>
      </c>
      <c r="H419">
        <v>5.9</v>
      </c>
      <c r="I419">
        <v>0.6</v>
      </c>
      <c r="J419">
        <v>22.3</v>
      </c>
      <c r="K419">
        <v>83.6</v>
      </c>
      <c r="L419">
        <v>74</v>
      </c>
    </row>
    <row r="420" spans="1:12" x14ac:dyDescent="0.25">
      <c r="A420">
        <v>2020</v>
      </c>
      <c r="B420" s="1" t="s">
        <v>82</v>
      </c>
      <c r="C420" s="1" t="s">
        <v>83</v>
      </c>
      <c r="D420" s="1" t="s">
        <v>84</v>
      </c>
      <c r="E420" s="1" t="s">
        <v>81</v>
      </c>
      <c r="F420" s="1" t="s">
        <v>16</v>
      </c>
      <c r="G420">
        <v>7.53</v>
      </c>
      <c r="H420">
        <v>5.9</v>
      </c>
      <c r="I420">
        <v>-2.76</v>
      </c>
      <c r="J420">
        <v>11.3</v>
      </c>
      <c r="K420">
        <v>56.5</v>
      </c>
      <c r="L420">
        <v>37</v>
      </c>
    </row>
    <row r="421" spans="1:12" x14ac:dyDescent="0.25">
      <c r="A421">
        <v>2021</v>
      </c>
      <c r="B421" s="1" t="s">
        <v>82</v>
      </c>
      <c r="C421" s="1" t="s">
        <v>83</v>
      </c>
      <c r="D421" s="1" t="s">
        <v>84</v>
      </c>
      <c r="E421" s="1" t="s">
        <v>81</v>
      </c>
      <c r="F421" s="1" t="s">
        <v>16</v>
      </c>
      <c r="G421">
        <v>14.38</v>
      </c>
      <c r="H421">
        <v>5.9</v>
      </c>
      <c r="I421">
        <v>-1.96</v>
      </c>
      <c r="J421">
        <v>21.6</v>
      </c>
      <c r="K421">
        <v>69</v>
      </c>
      <c r="L421">
        <v>71</v>
      </c>
    </row>
    <row r="422" spans="1:12" x14ac:dyDescent="0.25">
      <c r="A422">
        <v>2022</v>
      </c>
      <c r="B422" s="1" t="s">
        <v>82</v>
      </c>
      <c r="C422" s="1" t="s">
        <v>83</v>
      </c>
      <c r="D422" s="1" t="s">
        <v>84</v>
      </c>
      <c r="E422" s="1" t="s">
        <v>81</v>
      </c>
      <c r="F422" s="1" t="s">
        <v>16</v>
      </c>
      <c r="G422">
        <v>18.55</v>
      </c>
      <c r="H422">
        <v>5.9</v>
      </c>
      <c r="I422">
        <v>0.42</v>
      </c>
      <c r="J422">
        <v>27.8</v>
      </c>
      <c r="K422">
        <v>84.6</v>
      </c>
      <c r="L422">
        <v>92</v>
      </c>
    </row>
    <row r="423" spans="1:12" x14ac:dyDescent="0.25">
      <c r="A423">
        <v>2023</v>
      </c>
      <c r="B423" s="1" t="s">
        <v>82</v>
      </c>
      <c r="C423" s="1" t="s">
        <v>83</v>
      </c>
      <c r="D423" s="1" t="s">
        <v>84</v>
      </c>
      <c r="E423" s="1" t="s">
        <v>81</v>
      </c>
      <c r="F423" s="1" t="s">
        <v>16</v>
      </c>
      <c r="G423">
        <v>20.23</v>
      </c>
      <c r="H423">
        <v>5.9</v>
      </c>
      <c r="I423">
        <v>1.59</v>
      </c>
      <c r="J423">
        <v>30.3</v>
      </c>
      <c r="K423">
        <v>82.8</v>
      </c>
      <c r="L423">
        <v>101</v>
      </c>
    </row>
    <row r="424" spans="1:12" x14ac:dyDescent="0.25">
      <c r="A424">
        <v>2024</v>
      </c>
      <c r="B424" s="1" t="s">
        <v>82</v>
      </c>
      <c r="C424" s="1" t="s">
        <v>83</v>
      </c>
      <c r="D424" s="1" t="s">
        <v>84</v>
      </c>
      <c r="E424" s="1" t="s">
        <v>81</v>
      </c>
      <c r="F424" s="1" t="s">
        <v>16</v>
      </c>
      <c r="G424">
        <v>21.46</v>
      </c>
      <c r="H424">
        <v>5.9</v>
      </c>
      <c r="I424">
        <v>2.0699999999999998</v>
      </c>
      <c r="J424">
        <v>32.200000000000003</v>
      </c>
      <c r="K424">
        <v>84.3</v>
      </c>
      <c r="L424">
        <v>107</v>
      </c>
    </row>
    <row r="425" spans="1:12" x14ac:dyDescent="0.25">
      <c r="A425">
        <v>2025</v>
      </c>
      <c r="B425" s="1" t="s">
        <v>82</v>
      </c>
      <c r="C425" s="1" t="s">
        <v>83</v>
      </c>
      <c r="D425" s="1" t="s">
        <v>84</v>
      </c>
      <c r="E425" s="1" t="s">
        <v>81</v>
      </c>
      <c r="F425" s="1" t="s">
        <v>16</v>
      </c>
      <c r="G425">
        <v>23.92</v>
      </c>
      <c r="H425">
        <v>5.9</v>
      </c>
      <c r="I425">
        <v>2.83</v>
      </c>
      <c r="J425">
        <v>35.9</v>
      </c>
      <c r="K425">
        <v>85.9</v>
      </c>
      <c r="L425">
        <v>119</v>
      </c>
    </row>
    <row r="426" spans="1:12" x14ac:dyDescent="0.25">
      <c r="A426">
        <v>2026</v>
      </c>
      <c r="B426" s="1" t="s">
        <v>82</v>
      </c>
      <c r="C426" s="1" t="s">
        <v>83</v>
      </c>
      <c r="D426" s="1" t="s">
        <v>84</v>
      </c>
      <c r="E426" s="1" t="s">
        <v>81</v>
      </c>
      <c r="F426" s="1" t="s">
        <v>16</v>
      </c>
      <c r="G426">
        <v>24.72</v>
      </c>
      <c r="H426">
        <v>5.9</v>
      </c>
      <c r="I426">
        <v>1.71</v>
      </c>
      <c r="J426">
        <v>37.1</v>
      </c>
      <c r="K426">
        <v>81.8</v>
      </c>
      <c r="L426">
        <v>123</v>
      </c>
    </row>
    <row r="427" spans="1:12" x14ac:dyDescent="0.25">
      <c r="A427">
        <v>2010</v>
      </c>
      <c r="B427" s="1" t="s">
        <v>85</v>
      </c>
      <c r="C427" s="1" t="s">
        <v>86</v>
      </c>
      <c r="D427" s="1" t="s">
        <v>80</v>
      </c>
      <c r="E427" s="1" t="s">
        <v>81</v>
      </c>
      <c r="F427" s="1" t="s">
        <v>16</v>
      </c>
      <c r="G427">
        <v>2.9</v>
      </c>
      <c r="H427">
        <v>5.9</v>
      </c>
      <c r="I427">
        <v>0.13</v>
      </c>
      <c r="J427">
        <v>4.4000000000000004</v>
      </c>
      <c r="K427">
        <v>86.2</v>
      </c>
      <c r="L427">
        <v>14</v>
      </c>
    </row>
    <row r="428" spans="1:12" x14ac:dyDescent="0.25">
      <c r="A428">
        <v>2011</v>
      </c>
      <c r="B428" s="1" t="s">
        <v>85</v>
      </c>
      <c r="C428" s="1" t="s">
        <v>86</v>
      </c>
      <c r="D428" s="1" t="s">
        <v>80</v>
      </c>
      <c r="E428" s="1" t="s">
        <v>81</v>
      </c>
      <c r="F428" s="1" t="s">
        <v>16</v>
      </c>
      <c r="G428">
        <v>4.17</v>
      </c>
      <c r="H428">
        <v>5.9</v>
      </c>
      <c r="I428">
        <v>0.23</v>
      </c>
      <c r="J428">
        <v>6.2</v>
      </c>
      <c r="K428">
        <v>85.4</v>
      </c>
      <c r="L428">
        <v>20</v>
      </c>
    </row>
    <row r="429" spans="1:12" x14ac:dyDescent="0.25">
      <c r="A429">
        <v>2012</v>
      </c>
      <c r="B429" s="1" t="s">
        <v>85</v>
      </c>
      <c r="C429" s="1" t="s">
        <v>86</v>
      </c>
      <c r="D429" s="1" t="s">
        <v>80</v>
      </c>
      <c r="E429" s="1" t="s">
        <v>81</v>
      </c>
      <c r="F429" s="1" t="s">
        <v>16</v>
      </c>
      <c r="G429">
        <v>5</v>
      </c>
      <c r="H429">
        <v>5.9</v>
      </c>
      <c r="I429">
        <v>0.05</v>
      </c>
      <c r="J429">
        <v>7.5</v>
      </c>
      <c r="K429">
        <v>84.6</v>
      </c>
      <c r="L429">
        <v>25</v>
      </c>
    </row>
    <row r="430" spans="1:12" x14ac:dyDescent="0.25">
      <c r="A430">
        <v>2013</v>
      </c>
      <c r="B430" s="1" t="s">
        <v>85</v>
      </c>
      <c r="C430" s="1" t="s">
        <v>86</v>
      </c>
      <c r="D430" s="1" t="s">
        <v>80</v>
      </c>
      <c r="E430" s="1" t="s">
        <v>81</v>
      </c>
      <c r="F430" s="1" t="s">
        <v>16</v>
      </c>
      <c r="G430">
        <v>6.57</v>
      </c>
      <c r="H430">
        <v>5.9</v>
      </c>
      <c r="I430">
        <v>0.44</v>
      </c>
      <c r="J430">
        <v>9.9</v>
      </c>
      <c r="K430">
        <v>80.3</v>
      </c>
      <c r="L430">
        <v>32</v>
      </c>
    </row>
    <row r="431" spans="1:12" x14ac:dyDescent="0.25">
      <c r="A431">
        <v>2014</v>
      </c>
      <c r="B431" s="1" t="s">
        <v>85</v>
      </c>
      <c r="C431" s="1" t="s">
        <v>86</v>
      </c>
      <c r="D431" s="1" t="s">
        <v>80</v>
      </c>
      <c r="E431" s="1" t="s">
        <v>81</v>
      </c>
      <c r="F431" s="1" t="s">
        <v>16</v>
      </c>
      <c r="G431">
        <v>7.77</v>
      </c>
      <c r="H431">
        <v>5.9</v>
      </c>
      <c r="I431">
        <v>0.86</v>
      </c>
      <c r="J431">
        <v>11.7</v>
      </c>
      <c r="K431">
        <v>84.6</v>
      </c>
      <c r="L431">
        <v>38</v>
      </c>
    </row>
    <row r="432" spans="1:12" x14ac:dyDescent="0.25">
      <c r="A432">
        <v>2015</v>
      </c>
      <c r="B432" s="1" t="s">
        <v>85</v>
      </c>
      <c r="C432" s="1" t="s">
        <v>86</v>
      </c>
      <c r="D432" s="1" t="s">
        <v>80</v>
      </c>
      <c r="E432" s="1" t="s">
        <v>81</v>
      </c>
      <c r="F432" s="1" t="s">
        <v>16</v>
      </c>
      <c r="G432">
        <v>9.0500000000000007</v>
      </c>
      <c r="H432">
        <v>5.9</v>
      </c>
      <c r="I432">
        <v>0.44</v>
      </c>
      <c r="J432">
        <v>13.6</v>
      </c>
      <c r="K432">
        <v>82.2</v>
      </c>
      <c r="L432">
        <v>45</v>
      </c>
    </row>
    <row r="433" spans="1:12" x14ac:dyDescent="0.25">
      <c r="A433">
        <v>2016</v>
      </c>
      <c r="B433" s="1" t="s">
        <v>85</v>
      </c>
      <c r="C433" s="1" t="s">
        <v>86</v>
      </c>
      <c r="D433" s="1" t="s">
        <v>80</v>
      </c>
      <c r="E433" s="1" t="s">
        <v>81</v>
      </c>
      <c r="F433" s="1" t="s">
        <v>16</v>
      </c>
      <c r="G433">
        <v>7.47</v>
      </c>
      <c r="H433">
        <v>5.9</v>
      </c>
      <c r="I433">
        <v>0.5</v>
      </c>
      <c r="J433">
        <v>11.2</v>
      </c>
      <c r="K433">
        <v>84.7</v>
      </c>
      <c r="L433">
        <v>37</v>
      </c>
    </row>
    <row r="434" spans="1:12" x14ac:dyDescent="0.25">
      <c r="A434">
        <v>2017</v>
      </c>
      <c r="B434" s="1" t="s">
        <v>85</v>
      </c>
      <c r="C434" s="1" t="s">
        <v>86</v>
      </c>
      <c r="D434" s="1" t="s">
        <v>80</v>
      </c>
      <c r="E434" s="1" t="s">
        <v>81</v>
      </c>
      <c r="F434" s="1" t="s">
        <v>16</v>
      </c>
      <c r="G434">
        <v>6.61</v>
      </c>
      <c r="H434">
        <v>5.9</v>
      </c>
      <c r="I434">
        <v>0.28999999999999998</v>
      </c>
      <c r="J434">
        <v>9.9</v>
      </c>
      <c r="K434">
        <v>80.7</v>
      </c>
      <c r="L434">
        <v>33</v>
      </c>
    </row>
    <row r="435" spans="1:12" x14ac:dyDescent="0.25">
      <c r="A435">
        <v>2018</v>
      </c>
      <c r="B435" s="1" t="s">
        <v>85</v>
      </c>
      <c r="C435" s="1" t="s">
        <v>86</v>
      </c>
      <c r="D435" s="1" t="s">
        <v>80</v>
      </c>
      <c r="E435" s="1" t="s">
        <v>81</v>
      </c>
      <c r="F435" s="1" t="s">
        <v>16</v>
      </c>
      <c r="G435">
        <v>5.73</v>
      </c>
      <c r="H435">
        <v>5.9</v>
      </c>
      <c r="I435">
        <v>0.35</v>
      </c>
      <c r="J435">
        <v>8.6</v>
      </c>
      <c r="K435">
        <v>78.8</v>
      </c>
      <c r="L435">
        <v>28</v>
      </c>
    </row>
    <row r="436" spans="1:12" x14ac:dyDescent="0.25">
      <c r="A436">
        <v>2019</v>
      </c>
      <c r="B436" s="1" t="s">
        <v>85</v>
      </c>
      <c r="C436" s="1" t="s">
        <v>86</v>
      </c>
      <c r="D436" s="1" t="s">
        <v>80</v>
      </c>
      <c r="E436" s="1" t="s">
        <v>81</v>
      </c>
      <c r="F436" s="1" t="s">
        <v>16</v>
      </c>
      <c r="G436">
        <v>5.7</v>
      </c>
      <c r="H436">
        <v>5.9</v>
      </c>
      <c r="I436">
        <v>0.45</v>
      </c>
      <c r="J436">
        <v>8.6</v>
      </c>
      <c r="K436">
        <v>82.5</v>
      </c>
      <c r="L436">
        <v>28</v>
      </c>
    </row>
    <row r="437" spans="1:12" x14ac:dyDescent="0.25">
      <c r="A437">
        <v>2020</v>
      </c>
      <c r="B437" s="1" t="s">
        <v>85</v>
      </c>
      <c r="C437" s="1" t="s">
        <v>86</v>
      </c>
      <c r="D437" s="1" t="s">
        <v>80</v>
      </c>
      <c r="E437" s="1" t="s">
        <v>81</v>
      </c>
      <c r="F437" s="1" t="s">
        <v>16</v>
      </c>
      <c r="G437">
        <v>2.5099999999999998</v>
      </c>
      <c r="H437">
        <v>5.9</v>
      </c>
      <c r="I437">
        <v>-0.94</v>
      </c>
      <c r="J437">
        <v>3.8</v>
      </c>
      <c r="K437">
        <v>57.5</v>
      </c>
      <c r="L437">
        <v>12</v>
      </c>
    </row>
    <row r="438" spans="1:12" x14ac:dyDescent="0.25">
      <c r="A438">
        <v>2021</v>
      </c>
      <c r="B438" s="1" t="s">
        <v>85</v>
      </c>
      <c r="C438" s="1" t="s">
        <v>86</v>
      </c>
      <c r="D438" s="1" t="s">
        <v>80</v>
      </c>
      <c r="E438" s="1" t="s">
        <v>81</v>
      </c>
      <c r="F438" s="1" t="s">
        <v>16</v>
      </c>
      <c r="G438">
        <v>3.5</v>
      </c>
      <c r="H438">
        <v>5.9</v>
      </c>
      <c r="I438">
        <v>-0.66</v>
      </c>
      <c r="J438">
        <v>5.2</v>
      </c>
      <c r="K438">
        <v>67.599999999999994</v>
      </c>
      <c r="L438">
        <v>17</v>
      </c>
    </row>
    <row r="439" spans="1:12" x14ac:dyDescent="0.25">
      <c r="A439">
        <v>2022</v>
      </c>
      <c r="B439" s="1" t="s">
        <v>85</v>
      </c>
      <c r="C439" s="1" t="s">
        <v>86</v>
      </c>
      <c r="D439" s="1" t="s">
        <v>80</v>
      </c>
      <c r="E439" s="1" t="s">
        <v>81</v>
      </c>
      <c r="F439" s="1" t="s">
        <v>16</v>
      </c>
      <c r="G439">
        <v>5.63</v>
      </c>
      <c r="H439">
        <v>5.9</v>
      </c>
      <c r="I439">
        <v>0.02</v>
      </c>
      <c r="J439">
        <v>8.5</v>
      </c>
      <c r="K439">
        <v>83.8</v>
      </c>
      <c r="L439">
        <v>28</v>
      </c>
    </row>
    <row r="440" spans="1:12" x14ac:dyDescent="0.25">
      <c r="A440">
        <v>2023</v>
      </c>
      <c r="B440" s="1" t="s">
        <v>85</v>
      </c>
      <c r="C440" s="1" t="s">
        <v>86</v>
      </c>
      <c r="D440" s="1" t="s">
        <v>80</v>
      </c>
      <c r="E440" s="1" t="s">
        <v>81</v>
      </c>
      <c r="F440" s="1" t="s">
        <v>16</v>
      </c>
      <c r="G440">
        <v>6.61</v>
      </c>
      <c r="H440">
        <v>5.9</v>
      </c>
      <c r="I440">
        <v>0.83</v>
      </c>
      <c r="J440">
        <v>9.9</v>
      </c>
      <c r="K440">
        <v>82.6</v>
      </c>
      <c r="L440">
        <v>33</v>
      </c>
    </row>
    <row r="441" spans="1:12" x14ac:dyDescent="0.25">
      <c r="A441">
        <v>2024</v>
      </c>
      <c r="B441" s="1" t="s">
        <v>85</v>
      </c>
      <c r="C441" s="1" t="s">
        <v>86</v>
      </c>
      <c r="D441" s="1" t="s">
        <v>80</v>
      </c>
      <c r="E441" s="1" t="s">
        <v>81</v>
      </c>
      <c r="F441" s="1" t="s">
        <v>16</v>
      </c>
      <c r="G441">
        <v>7.48</v>
      </c>
      <c r="H441">
        <v>5.9</v>
      </c>
      <c r="I441">
        <v>0.32</v>
      </c>
      <c r="J441">
        <v>11.2</v>
      </c>
      <c r="K441">
        <v>85.4</v>
      </c>
      <c r="L441">
        <v>37</v>
      </c>
    </row>
    <row r="442" spans="1:12" x14ac:dyDescent="0.25">
      <c r="A442">
        <v>2025</v>
      </c>
      <c r="B442" s="1" t="s">
        <v>85</v>
      </c>
      <c r="C442" s="1" t="s">
        <v>86</v>
      </c>
      <c r="D442" s="1" t="s">
        <v>80</v>
      </c>
      <c r="E442" s="1" t="s">
        <v>81</v>
      </c>
      <c r="F442" s="1" t="s">
        <v>16</v>
      </c>
      <c r="G442">
        <v>8.02</v>
      </c>
      <c r="H442">
        <v>5.9</v>
      </c>
      <c r="I442">
        <v>0.53</v>
      </c>
      <c r="J442">
        <v>12</v>
      </c>
      <c r="K442">
        <v>83</v>
      </c>
      <c r="L442">
        <v>40</v>
      </c>
    </row>
    <row r="443" spans="1:12" x14ac:dyDescent="0.25">
      <c r="A443">
        <v>2026</v>
      </c>
      <c r="B443" s="1" t="s">
        <v>85</v>
      </c>
      <c r="C443" s="1" t="s">
        <v>86</v>
      </c>
      <c r="D443" s="1" t="s">
        <v>80</v>
      </c>
      <c r="E443" s="1" t="s">
        <v>81</v>
      </c>
      <c r="F443" s="1" t="s">
        <v>16</v>
      </c>
      <c r="G443">
        <v>8.59</v>
      </c>
      <c r="H443">
        <v>5.9</v>
      </c>
      <c r="I443">
        <v>0.56000000000000005</v>
      </c>
      <c r="J443">
        <v>12.9</v>
      </c>
      <c r="K443">
        <v>84.9</v>
      </c>
      <c r="L443">
        <v>42</v>
      </c>
    </row>
    <row r="444" spans="1:12" x14ac:dyDescent="0.25">
      <c r="A444">
        <v>2010</v>
      </c>
      <c r="B444" s="1" t="s">
        <v>87</v>
      </c>
      <c r="C444" s="1" t="s">
        <v>88</v>
      </c>
      <c r="D444" s="1" t="s">
        <v>89</v>
      </c>
      <c r="E444" s="1" t="s">
        <v>81</v>
      </c>
      <c r="F444" s="1" t="s">
        <v>16</v>
      </c>
      <c r="G444">
        <v>4.04</v>
      </c>
      <c r="H444">
        <v>5.9</v>
      </c>
      <c r="I444">
        <v>0.08</v>
      </c>
      <c r="J444">
        <v>6.1</v>
      </c>
      <c r="K444">
        <v>82.8</v>
      </c>
      <c r="L444">
        <v>20</v>
      </c>
    </row>
    <row r="445" spans="1:12" x14ac:dyDescent="0.25">
      <c r="A445">
        <v>2011</v>
      </c>
      <c r="B445" s="1" t="s">
        <v>87</v>
      </c>
      <c r="C445" s="1" t="s">
        <v>88</v>
      </c>
      <c r="D445" s="1" t="s">
        <v>89</v>
      </c>
      <c r="E445" s="1" t="s">
        <v>81</v>
      </c>
      <c r="F445" s="1" t="s">
        <v>16</v>
      </c>
      <c r="G445">
        <v>4.4800000000000004</v>
      </c>
      <c r="H445">
        <v>5.9</v>
      </c>
      <c r="I445">
        <v>0.06</v>
      </c>
      <c r="J445">
        <v>6.7</v>
      </c>
      <c r="K445">
        <v>80.900000000000006</v>
      </c>
      <c r="L445">
        <v>22</v>
      </c>
    </row>
    <row r="446" spans="1:12" x14ac:dyDescent="0.25">
      <c r="A446">
        <v>2012</v>
      </c>
      <c r="B446" s="1" t="s">
        <v>87</v>
      </c>
      <c r="C446" s="1" t="s">
        <v>88</v>
      </c>
      <c r="D446" s="1" t="s">
        <v>89</v>
      </c>
      <c r="E446" s="1" t="s">
        <v>81</v>
      </c>
      <c r="F446" s="1" t="s">
        <v>16</v>
      </c>
      <c r="G446">
        <v>4.8899999999999997</v>
      </c>
      <c r="H446">
        <v>5.9</v>
      </c>
      <c r="I446">
        <v>0.33</v>
      </c>
      <c r="J446">
        <v>7.3</v>
      </c>
      <c r="K446">
        <v>83.8</v>
      </c>
      <c r="L446">
        <v>24</v>
      </c>
    </row>
    <row r="447" spans="1:12" x14ac:dyDescent="0.25">
      <c r="A447">
        <v>2013</v>
      </c>
      <c r="B447" s="1" t="s">
        <v>87</v>
      </c>
      <c r="C447" s="1" t="s">
        <v>88</v>
      </c>
      <c r="D447" s="1" t="s">
        <v>89</v>
      </c>
      <c r="E447" s="1" t="s">
        <v>81</v>
      </c>
      <c r="F447" s="1" t="s">
        <v>16</v>
      </c>
      <c r="G447">
        <v>5.43</v>
      </c>
      <c r="H447">
        <v>5.9</v>
      </c>
      <c r="I447">
        <v>0.39</v>
      </c>
      <c r="J447">
        <v>8.1999999999999993</v>
      </c>
      <c r="K447">
        <v>84.3</v>
      </c>
      <c r="L447">
        <v>27</v>
      </c>
    </row>
    <row r="448" spans="1:12" x14ac:dyDescent="0.25">
      <c r="A448">
        <v>2014</v>
      </c>
      <c r="B448" s="1" t="s">
        <v>87</v>
      </c>
      <c r="C448" s="1" t="s">
        <v>88</v>
      </c>
      <c r="D448" s="1" t="s">
        <v>89</v>
      </c>
      <c r="E448" s="1" t="s">
        <v>81</v>
      </c>
      <c r="F448" s="1" t="s">
        <v>16</v>
      </c>
      <c r="G448">
        <v>5.99</v>
      </c>
      <c r="H448">
        <v>5.9</v>
      </c>
      <c r="I448">
        <v>0.33</v>
      </c>
      <c r="J448">
        <v>9</v>
      </c>
      <c r="K448">
        <v>81.400000000000006</v>
      </c>
      <c r="L448">
        <v>29</v>
      </c>
    </row>
    <row r="449" spans="1:12" x14ac:dyDescent="0.25">
      <c r="A449">
        <v>2015</v>
      </c>
      <c r="B449" s="1" t="s">
        <v>87</v>
      </c>
      <c r="C449" s="1" t="s">
        <v>88</v>
      </c>
      <c r="D449" s="1" t="s">
        <v>89</v>
      </c>
      <c r="E449" s="1" t="s">
        <v>81</v>
      </c>
      <c r="F449" s="1" t="s">
        <v>16</v>
      </c>
      <c r="G449">
        <v>5.98</v>
      </c>
      <c r="H449">
        <v>5.9</v>
      </c>
      <c r="I449">
        <v>0.42</v>
      </c>
      <c r="J449">
        <v>9</v>
      </c>
      <c r="K449">
        <v>81.900000000000006</v>
      </c>
      <c r="L449">
        <v>29</v>
      </c>
    </row>
    <row r="450" spans="1:12" x14ac:dyDescent="0.25">
      <c r="A450">
        <v>2016</v>
      </c>
      <c r="B450" s="1" t="s">
        <v>87</v>
      </c>
      <c r="C450" s="1" t="s">
        <v>88</v>
      </c>
      <c r="D450" s="1" t="s">
        <v>89</v>
      </c>
      <c r="E450" s="1" t="s">
        <v>81</v>
      </c>
      <c r="F450" s="1" t="s">
        <v>16</v>
      </c>
      <c r="G450">
        <v>5.91</v>
      </c>
      <c r="H450">
        <v>5.9</v>
      </c>
      <c r="I450">
        <v>0.7</v>
      </c>
      <c r="J450">
        <v>8.9</v>
      </c>
      <c r="K450">
        <v>83.7</v>
      </c>
      <c r="L450">
        <v>29</v>
      </c>
    </row>
    <row r="451" spans="1:12" x14ac:dyDescent="0.25">
      <c r="A451">
        <v>2017</v>
      </c>
      <c r="B451" s="1" t="s">
        <v>87</v>
      </c>
      <c r="C451" s="1" t="s">
        <v>88</v>
      </c>
      <c r="D451" s="1" t="s">
        <v>89</v>
      </c>
      <c r="E451" s="1" t="s">
        <v>81</v>
      </c>
      <c r="F451" s="1" t="s">
        <v>16</v>
      </c>
      <c r="G451">
        <v>6.16</v>
      </c>
      <c r="H451">
        <v>5.9</v>
      </c>
      <c r="I451">
        <v>0.51</v>
      </c>
      <c r="J451">
        <v>9.1999999999999993</v>
      </c>
      <c r="K451">
        <v>82.8</v>
      </c>
      <c r="L451">
        <v>30</v>
      </c>
    </row>
    <row r="452" spans="1:12" x14ac:dyDescent="0.25">
      <c r="A452">
        <v>2018</v>
      </c>
      <c r="B452" s="1" t="s">
        <v>87</v>
      </c>
      <c r="C452" s="1" t="s">
        <v>88</v>
      </c>
      <c r="D452" s="1" t="s">
        <v>89</v>
      </c>
      <c r="E452" s="1" t="s">
        <v>81</v>
      </c>
      <c r="F452" s="1" t="s">
        <v>16</v>
      </c>
      <c r="G452">
        <v>6.45</v>
      </c>
      <c r="H452">
        <v>5.9</v>
      </c>
      <c r="I452">
        <v>0.48</v>
      </c>
      <c r="J452">
        <v>9.6999999999999993</v>
      </c>
      <c r="K452">
        <v>80.400000000000006</v>
      </c>
      <c r="L452">
        <v>32</v>
      </c>
    </row>
    <row r="453" spans="1:12" x14ac:dyDescent="0.25">
      <c r="A453">
        <v>2019</v>
      </c>
      <c r="B453" s="1" t="s">
        <v>87</v>
      </c>
      <c r="C453" s="1" t="s">
        <v>88</v>
      </c>
      <c r="D453" s="1" t="s">
        <v>89</v>
      </c>
      <c r="E453" s="1" t="s">
        <v>81</v>
      </c>
      <c r="F453" s="1" t="s">
        <v>16</v>
      </c>
      <c r="G453">
        <v>6.77</v>
      </c>
      <c r="H453">
        <v>5.9</v>
      </c>
      <c r="I453">
        <v>0.73</v>
      </c>
      <c r="J453">
        <v>10.199999999999999</v>
      </c>
      <c r="K453">
        <v>83.9</v>
      </c>
      <c r="L453">
        <v>33</v>
      </c>
    </row>
    <row r="454" spans="1:12" x14ac:dyDescent="0.25">
      <c r="A454">
        <v>2020</v>
      </c>
      <c r="B454" s="1" t="s">
        <v>87</v>
      </c>
      <c r="C454" s="1" t="s">
        <v>88</v>
      </c>
      <c r="D454" s="1" t="s">
        <v>89</v>
      </c>
      <c r="E454" s="1" t="s">
        <v>81</v>
      </c>
      <c r="F454" s="1" t="s">
        <v>16</v>
      </c>
      <c r="G454">
        <v>2.57</v>
      </c>
      <c r="H454">
        <v>5.9</v>
      </c>
      <c r="I454">
        <v>-0.93</v>
      </c>
      <c r="J454">
        <v>3.9</v>
      </c>
      <c r="K454">
        <v>54.2</v>
      </c>
      <c r="L454">
        <v>12</v>
      </c>
    </row>
    <row r="455" spans="1:12" x14ac:dyDescent="0.25">
      <c r="A455">
        <v>2021</v>
      </c>
      <c r="B455" s="1" t="s">
        <v>87</v>
      </c>
      <c r="C455" s="1" t="s">
        <v>88</v>
      </c>
      <c r="D455" s="1" t="s">
        <v>89</v>
      </c>
      <c r="E455" s="1" t="s">
        <v>81</v>
      </c>
      <c r="F455" s="1" t="s">
        <v>16</v>
      </c>
      <c r="G455">
        <v>3.37</v>
      </c>
      <c r="H455">
        <v>5.9</v>
      </c>
      <c r="I455">
        <v>-0.64</v>
      </c>
      <c r="J455">
        <v>5.0999999999999996</v>
      </c>
      <c r="K455">
        <v>71.8</v>
      </c>
      <c r="L455">
        <v>16</v>
      </c>
    </row>
    <row r="456" spans="1:12" x14ac:dyDescent="0.25">
      <c r="A456">
        <v>2022</v>
      </c>
      <c r="B456" s="1" t="s">
        <v>87</v>
      </c>
      <c r="C456" s="1" t="s">
        <v>88</v>
      </c>
      <c r="D456" s="1" t="s">
        <v>89</v>
      </c>
      <c r="E456" s="1" t="s">
        <v>81</v>
      </c>
      <c r="F456" s="1" t="s">
        <v>16</v>
      </c>
      <c r="G456">
        <v>5.22</v>
      </c>
      <c r="H456">
        <v>5.9</v>
      </c>
      <c r="I456">
        <v>0.22</v>
      </c>
      <c r="J456">
        <v>7.8</v>
      </c>
      <c r="K456">
        <v>82.2</v>
      </c>
      <c r="L456">
        <v>26</v>
      </c>
    </row>
    <row r="457" spans="1:12" x14ac:dyDescent="0.25">
      <c r="A457">
        <v>2023</v>
      </c>
      <c r="B457" s="1" t="s">
        <v>87</v>
      </c>
      <c r="C457" s="1" t="s">
        <v>88</v>
      </c>
      <c r="D457" s="1" t="s">
        <v>89</v>
      </c>
      <c r="E457" s="1" t="s">
        <v>81</v>
      </c>
      <c r="F457" s="1" t="s">
        <v>16</v>
      </c>
      <c r="G457">
        <v>6.88</v>
      </c>
      <c r="H457">
        <v>5.9</v>
      </c>
      <c r="I457">
        <v>0.36</v>
      </c>
      <c r="J457">
        <v>10.3</v>
      </c>
      <c r="K457">
        <v>85.7</v>
      </c>
      <c r="L457">
        <v>34</v>
      </c>
    </row>
    <row r="458" spans="1:12" x14ac:dyDescent="0.25">
      <c r="A458">
        <v>2024</v>
      </c>
      <c r="B458" s="1" t="s">
        <v>87</v>
      </c>
      <c r="C458" s="1" t="s">
        <v>88</v>
      </c>
      <c r="D458" s="1" t="s">
        <v>89</v>
      </c>
      <c r="E458" s="1" t="s">
        <v>81</v>
      </c>
      <c r="F458" s="1" t="s">
        <v>16</v>
      </c>
      <c r="G458">
        <v>7.79</v>
      </c>
      <c r="H458">
        <v>5.9</v>
      </c>
      <c r="I458">
        <v>0.81</v>
      </c>
      <c r="J458">
        <v>11.7</v>
      </c>
      <c r="K458">
        <v>80</v>
      </c>
      <c r="L458">
        <v>38</v>
      </c>
    </row>
    <row r="459" spans="1:12" x14ac:dyDescent="0.25">
      <c r="A459">
        <v>2025</v>
      </c>
      <c r="B459" s="1" t="s">
        <v>87</v>
      </c>
      <c r="C459" s="1" t="s">
        <v>88</v>
      </c>
      <c r="D459" s="1" t="s">
        <v>89</v>
      </c>
      <c r="E459" s="1" t="s">
        <v>81</v>
      </c>
      <c r="F459" s="1" t="s">
        <v>16</v>
      </c>
      <c r="G459">
        <v>8.7100000000000009</v>
      </c>
      <c r="H459">
        <v>5.9</v>
      </c>
      <c r="I459">
        <v>0.79</v>
      </c>
      <c r="J459">
        <v>13.1</v>
      </c>
      <c r="K459">
        <v>79.8</v>
      </c>
      <c r="L459">
        <v>43</v>
      </c>
    </row>
    <row r="460" spans="1:12" x14ac:dyDescent="0.25">
      <c r="A460">
        <v>2026</v>
      </c>
      <c r="B460" s="1" t="s">
        <v>87</v>
      </c>
      <c r="C460" s="1" t="s">
        <v>88</v>
      </c>
      <c r="D460" s="1" t="s">
        <v>89</v>
      </c>
      <c r="E460" s="1" t="s">
        <v>81</v>
      </c>
      <c r="F460" s="1" t="s">
        <v>16</v>
      </c>
      <c r="G460">
        <v>9.49</v>
      </c>
      <c r="H460">
        <v>5.9</v>
      </c>
      <c r="I460">
        <v>-1.81</v>
      </c>
      <c r="J460">
        <v>14.2</v>
      </c>
      <c r="K460">
        <v>84.1</v>
      </c>
      <c r="L460">
        <v>47</v>
      </c>
    </row>
    <row r="461" spans="1:12" x14ac:dyDescent="0.25">
      <c r="A461">
        <v>2023</v>
      </c>
      <c r="B461" s="1" t="s">
        <v>90</v>
      </c>
      <c r="C461" s="1" t="s">
        <v>91</v>
      </c>
      <c r="D461" s="1" t="s">
        <v>89</v>
      </c>
      <c r="E461" s="1" t="s">
        <v>81</v>
      </c>
      <c r="F461" s="1" t="s">
        <v>16</v>
      </c>
      <c r="G461">
        <v>0.01</v>
      </c>
      <c r="H461">
        <v>5.9</v>
      </c>
      <c r="I461">
        <v>0</v>
      </c>
      <c r="J461">
        <v>0</v>
      </c>
      <c r="K461">
        <v>85.9</v>
      </c>
      <c r="L461">
        <v>0</v>
      </c>
    </row>
    <row r="462" spans="1:12" x14ac:dyDescent="0.25">
      <c r="A462">
        <v>2024</v>
      </c>
      <c r="B462" s="1" t="s">
        <v>90</v>
      </c>
      <c r="C462" s="1" t="s">
        <v>91</v>
      </c>
      <c r="D462" s="1" t="s">
        <v>89</v>
      </c>
      <c r="E462" s="1" t="s">
        <v>81</v>
      </c>
      <c r="F462" s="1" t="s">
        <v>16</v>
      </c>
      <c r="G462">
        <v>0.52</v>
      </c>
      <c r="H462">
        <v>5.9</v>
      </c>
      <c r="I462">
        <v>0</v>
      </c>
      <c r="J462">
        <v>0.8</v>
      </c>
      <c r="K462">
        <v>82.4</v>
      </c>
      <c r="L462">
        <v>2</v>
      </c>
    </row>
    <row r="463" spans="1:12" x14ac:dyDescent="0.25">
      <c r="A463">
        <v>2025</v>
      </c>
      <c r="B463" s="1" t="s">
        <v>90</v>
      </c>
      <c r="C463" s="1" t="s">
        <v>91</v>
      </c>
      <c r="D463" s="1" t="s">
        <v>89</v>
      </c>
      <c r="E463" s="1" t="s">
        <v>81</v>
      </c>
      <c r="F463" s="1" t="s">
        <v>16</v>
      </c>
      <c r="G463">
        <v>1.49</v>
      </c>
      <c r="H463">
        <v>5.9</v>
      </c>
      <c r="I463">
        <v>0.05</v>
      </c>
      <c r="J463">
        <v>2.2000000000000002</v>
      </c>
      <c r="K463">
        <v>83.2</v>
      </c>
      <c r="L463">
        <v>7</v>
      </c>
    </row>
    <row r="464" spans="1:12" x14ac:dyDescent="0.25">
      <c r="A464">
        <v>2026</v>
      </c>
      <c r="B464" s="1" t="s">
        <v>90</v>
      </c>
      <c r="C464" s="1" t="s">
        <v>91</v>
      </c>
      <c r="D464" s="1" t="s">
        <v>89</v>
      </c>
      <c r="E464" s="1" t="s">
        <v>81</v>
      </c>
      <c r="F464" s="1" t="s">
        <v>16</v>
      </c>
      <c r="G464">
        <v>3.11</v>
      </c>
      <c r="H464">
        <v>5.9</v>
      </c>
      <c r="I464">
        <v>-0.71</v>
      </c>
      <c r="J464">
        <v>4.7</v>
      </c>
      <c r="K464">
        <v>83.7</v>
      </c>
      <c r="L464">
        <v>15</v>
      </c>
    </row>
    <row r="465" spans="1:12" x14ac:dyDescent="0.25">
      <c r="A465">
        <v>2010</v>
      </c>
      <c r="B465" s="1" t="s">
        <v>92</v>
      </c>
      <c r="C465" s="1" t="s">
        <v>93</v>
      </c>
      <c r="D465" s="1" t="s">
        <v>94</v>
      </c>
      <c r="E465" s="1" t="s">
        <v>95</v>
      </c>
      <c r="F465" s="1" t="s">
        <v>16</v>
      </c>
      <c r="G465">
        <v>4.38</v>
      </c>
      <c r="H465">
        <v>5.9</v>
      </c>
      <c r="I465">
        <v>0.19</v>
      </c>
      <c r="J465">
        <v>6.6</v>
      </c>
      <c r="K465">
        <v>86</v>
      </c>
      <c r="L465">
        <v>21</v>
      </c>
    </row>
    <row r="466" spans="1:12" x14ac:dyDescent="0.25">
      <c r="A466">
        <v>2011</v>
      </c>
      <c r="B466" s="1" t="s">
        <v>92</v>
      </c>
      <c r="C466" s="1" t="s">
        <v>93</v>
      </c>
      <c r="D466" s="1" t="s">
        <v>94</v>
      </c>
      <c r="E466" s="1" t="s">
        <v>95</v>
      </c>
      <c r="F466" s="1" t="s">
        <v>16</v>
      </c>
      <c r="G466">
        <v>5.53</v>
      </c>
      <c r="H466">
        <v>5.9</v>
      </c>
      <c r="I466">
        <v>0.4</v>
      </c>
      <c r="J466">
        <v>8.3000000000000007</v>
      </c>
      <c r="K466">
        <v>79.3</v>
      </c>
      <c r="L466">
        <v>27</v>
      </c>
    </row>
    <row r="467" spans="1:12" x14ac:dyDescent="0.25">
      <c r="A467">
        <v>2012</v>
      </c>
      <c r="B467" s="1" t="s">
        <v>92</v>
      </c>
      <c r="C467" s="1" t="s">
        <v>93</v>
      </c>
      <c r="D467" s="1" t="s">
        <v>94</v>
      </c>
      <c r="E467" s="1" t="s">
        <v>95</v>
      </c>
      <c r="F467" s="1" t="s">
        <v>16</v>
      </c>
      <c r="G467">
        <v>7.13</v>
      </c>
      <c r="H467">
        <v>5.9</v>
      </c>
      <c r="I467">
        <v>0.54</v>
      </c>
      <c r="J467">
        <v>10.7</v>
      </c>
      <c r="K467">
        <v>82.6</v>
      </c>
      <c r="L467">
        <v>35</v>
      </c>
    </row>
    <row r="468" spans="1:12" x14ac:dyDescent="0.25">
      <c r="A468">
        <v>2013</v>
      </c>
      <c r="B468" s="1" t="s">
        <v>92</v>
      </c>
      <c r="C468" s="1" t="s">
        <v>93</v>
      </c>
      <c r="D468" s="1" t="s">
        <v>94</v>
      </c>
      <c r="E468" s="1" t="s">
        <v>95</v>
      </c>
      <c r="F468" s="1" t="s">
        <v>16</v>
      </c>
      <c r="G468">
        <v>8</v>
      </c>
      <c r="H468">
        <v>5.9</v>
      </c>
      <c r="I468">
        <v>0.2</v>
      </c>
      <c r="J468">
        <v>12</v>
      </c>
      <c r="K468">
        <v>85.4</v>
      </c>
      <c r="L468">
        <v>39</v>
      </c>
    </row>
    <row r="469" spans="1:12" x14ac:dyDescent="0.25">
      <c r="A469">
        <v>2014</v>
      </c>
      <c r="B469" s="1" t="s">
        <v>92</v>
      </c>
      <c r="C469" s="1" t="s">
        <v>93</v>
      </c>
      <c r="D469" s="1" t="s">
        <v>94</v>
      </c>
      <c r="E469" s="1" t="s">
        <v>95</v>
      </c>
      <c r="F469" s="1" t="s">
        <v>16</v>
      </c>
      <c r="G469">
        <v>8.89</v>
      </c>
      <c r="H469">
        <v>5.9</v>
      </c>
      <c r="I469">
        <v>0.49</v>
      </c>
      <c r="J469">
        <v>13.3</v>
      </c>
      <c r="K469">
        <v>82</v>
      </c>
      <c r="L469">
        <v>44</v>
      </c>
    </row>
    <row r="470" spans="1:12" x14ac:dyDescent="0.25">
      <c r="A470">
        <v>2015</v>
      </c>
      <c r="B470" s="1" t="s">
        <v>92</v>
      </c>
      <c r="C470" s="1" t="s">
        <v>93</v>
      </c>
      <c r="D470" s="1" t="s">
        <v>94</v>
      </c>
      <c r="E470" s="1" t="s">
        <v>95</v>
      </c>
      <c r="F470" s="1" t="s">
        <v>16</v>
      </c>
      <c r="G470">
        <v>9.93</v>
      </c>
      <c r="H470">
        <v>5.9</v>
      </c>
      <c r="I470">
        <v>0.77</v>
      </c>
      <c r="J470">
        <v>14.9</v>
      </c>
      <c r="K470">
        <v>83.5</v>
      </c>
      <c r="L470">
        <v>49</v>
      </c>
    </row>
    <row r="471" spans="1:12" x14ac:dyDescent="0.25">
      <c r="A471">
        <v>2016</v>
      </c>
      <c r="B471" s="1" t="s">
        <v>92</v>
      </c>
      <c r="C471" s="1" t="s">
        <v>93</v>
      </c>
      <c r="D471" s="1" t="s">
        <v>94</v>
      </c>
      <c r="E471" s="1" t="s">
        <v>95</v>
      </c>
      <c r="F471" s="1" t="s">
        <v>16</v>
      </c>
      <c r="G471">
        <v>10.4</v>
      </c>
      <c r="H471">
        <v>5.9</v>
      </c>
      <c r="I471">
        <v>0.62</v>
      </c>
      <c r="J471">
        <v>15.6</v>
      </c>
      <c r="K471">
        <v>84</v>
      </c>
      <c r="L471">
        <v>52</v>
      </c>
    </row>
    <row r="472" spans="1:12" x14ac:dyDescent="0.25">
      <c r="A472">
        <v>2017</v>
      </c>
      <c r="B472" s="1" t="s">
        <v>92</v>
      </c>
      <c r="C472" s="1" t="s">
        <v>93</v>
      </c>
      <c r="D472" s="1" t="s">
        <v>94</v>
      </c>
      <c r="E472" s="1" t="s">
        <v>95</v>
      </c>
      <c r="F472" s="1" t="s">
        <v>16</v>
      </c>
      <c r="G472">
        <v>10.17</v>
      </c>
      <c r="H472">
        <v>5.9</v>
      </c>
      <c r="I472">
        <v>1.18</v>
      </c>
      <c r="J472">
        <v>15.3</v>
      </c>
      <c r="K472">
        <v>79.900000000000006</v>
      </c>
      <c r="L472">
        <v>50</v>
      </c>
    </row>
    <row r="473" spans="1:12" x14ac:dyDescent="0.25">
      <c r="A473">
        <v>2018</v>
      </c>
      <c r="B473" s="1" t="s">
        <v>92</v>
      </c>
      <c r="C473" s="1" t="s">
        <v>93</v>
      </c>
      <c r="D473" s="1" t="s">
        <v>94</v>
      </c>
      <c r="E473" s="1" t="s">
        <v>95</v>
      </c>
      <c r="F473" s="1" t="s">
        <v>16</v>
      </c>
      <c r="G473">
        <v>10.8</v>
      </c>
      <c r="H473">
        <v>5.9</v>
      </c>
      <c r="I473">
        <v>1.02</v>
      </c>
      <c r="J473">
        <v>16.2</v>
      </c>
      <c r="K473">
        <v>81.3</v>
      </c>
      <c r="L473">
        <v>54</v>
      </c>
    </row>
    <row r="474" spans="1:12" x14ac:dyDescent="0.25">
      <c r="A474">
        <v>2019</v>
      </c>
      <c r="B474" s="1" t="s">
        <v>92</v>
      </c>
      <c r="C474" s="1" t="s">
        <v>93</v>
      </c>
      <c r="D474" s="1" t="s">
        <v>94</v>
      </c>
      <c r="E474" s="1" t="s">
        <v>95</v>
      </c>
      <c r="F474" s="1" t="s">
        <v>16</v>
      </c>
      <c r="G474">
        <v>11.12</v>
      </c>
      <c r="H474">
        <v>5.9</v>
      </c>
      <c r="I474">
        <v>0.94</v>
      </c>
      <c r="J474">
        <v>16.7</v>
      </c>
      <c r="K474">
        <v>84.9</v>
      </c>
      <c r="L474">
        <v>55</v>
      </c>
    </row>
    <row r="475" spans="1:12" x14ac:dyDescent="0.25">
      <c r="A475">
        <v>2020</v>
      </c>
      <c r="B475" s="1" t="s">
        <v>92</v>
      </c>
      <c r="C475" s="1" t="s">
        <v>93</v>
      </c>
      <c r="D475" s="1" t="s">
        <v>94</v>
      </c>
      <c r="E475" s="1" t="s">
        <v>95</v>
      </c>
      <c r="F475" s="1" t="s">
        <v>16</v>
      </c>
      <c r="G475">
        <v>4.3</v>
      </c>
      <c r="H475">
        <v>5.9</v>
      </c>
      <c r="I475">
        <v>-1.53</v>
      </c>
      <c r="J475">
        <v>6.5</v>
      </c>
      <c r="K475">
        <v>54.6</v>
      </c>
      <c r="L475">
        <v>21</v>
      </c>
    </row>
    <row r="476" spans="1:12" x14ac:dyDescent="0.25">
      <c r="A476">
        <v>2021</v>
      </c>
      <c r="B476" s="1" t="s">
        <v>92</v>
      </c>
      <c r="C476" s="1" t="s">
        <v>93</v>
      </c>
      <c r="D476" s="1" t="s">
        <v>94</v>
      </c>
      <c r="E476" s="1" t="s">
        <v>95</v>
      </c>
      <c r="F476" s="1" t="s">
        <v>16</v>
      </c>
      <c r="G476">
        <v>5.0599999999999996</v>
      </c>
      <c r="H476">
        <v>5.9</v>
      </c>
      <c r="I476">
        <v>-0.73</v>
      </c>
      <c r="J476">
        <v>7.6</v>
      </c>
      <c r="K476">
        <v>70.400000000000006</v>
      </c>
      <c r="L476">
        <v>25</v>
      </c>
    </row>
    <row r="477" spans="1:12" x14ac:dyDescent="0.25">
      <c r="A477">
        <v>2022</v>
      </c>
      <c r="B477" s="1" t="s">
        <v>92</v>
      </c>
      <c r="C477" s="1" t="s">
        <v>93</v>
      </c>
      <c r="D477" s="1" t="s">
        <v>94</v>
      </c>
      <c r="E477" s="1" t="s">
        <v>95</v>
      </c>
      <c r="F477" s="1" t="s">
        <v>16</v>
      </c>
      <c r="G477">
        <v>9.15</v>
      </c>
      <c r="H477">
        <v>5.9</v>
      </c>
      <c r="I477">
        <v>0.37</v>
      </c>
      <c r="J477">
        <v>13.7</v>
      </c>
      <c r="K477">
        <v>84.8</v>
      </c>
      <c r="L477">
        <v>45</v>
      </c>
    </row>
    <row r="478" spans="1:12" x14ac:dyDescent="0.25">
      <c r="A478">
        <v>2023</v>
      </c>
      <c r="B478" s="1" t="s">
        <v>92</v>
      </c>
      <c r="C478" s="1" t="s">
        <v>93</v>
      </c>
      <c r="D478" s="1" t="s">
        <v>94</v>
      </c>
      <c r="E478" s="1" t="s">
        <v>95</v>
      </c>
      <c r="F478" s="1" t="s">
        <v>16</v>
      </c>
      <c r="G478">
        <v>11.93</v>
      </c>
      <c r="H478">
        <v>5.9</v>
      </c>
      <c r="I478">
        <v>1.18</v>
      </c>
      <c r="J478">
        <v>17.899999999999999</v>
      </c>
      <c r="K478">
        <v>82.5</v>
      </c>
      <c r="L478">
        <v>59</v>
      </c>
    </row>
    <row r="479" spans="1:12" x14ac:dyDescent="0.25">
      <c r="A479">
        <v>2024</v>
      </c>
      <c r="B479" s="1" t="s">
        <v>92</v>
      </c>
      <c r="C479" s="1" t="s">
        <v>93</v>
      </c>
      <c r="D479" s="1" t="s">
        <v>94</v>
      </c>
      <c r="E479" s="1" t="s">
        <v>95</v>
      </c>
      <c r="F479" s="1" t="s">
        <v>16</v>
      </c>
      <c r="G479">
        <v>12.35</v>
      </c>
      <c r="H479">
        <v>5.9</v>
      </c>
      <c r="I479">
        <v>0.72</v>
      </c>
      <c r="J479">
        <v>18.5</v>
      </c>
      <c r="K479">
        <v>79.7</v>
      </c>
      <c r="L479">
        <v>61</v>
      </c>
    </row>
    <row r="480" spans="1:12" x14ac:dyDescent="0.25">
      <c r="A480">
        <v>2025</v>
      </c>
      <c r="B480" s="1" t="s">
        <v>92</v>
      </c>
      <c r="C480" s="1" t="s">
        <v>93</v>
      </c>
      <c r="D480" s="1" t="s">
        <v>94</v>
      </c>
      <c r="E480" s="1" t="s">
        <v>95</v>
      </c>
      <c r="F480" s="1" t="s">
        <v>16</v>
      </c>
      <c r="G480">
        <v>13.7</v>
      </c>
      <c r="H480">
        <v>5.9</v>
      </c>
      <c r="I480">
        <v>1.07</v>
      </c>
      <c r="J480">
        <v>20.5</v>
      </c>
      <c r="K480">
        <v>82.1</v>
      </c>
      <c r="L480">
        <v>68</v>
      </c>
    </row>
    <row r="481" spans="1:12" x14ac:dyDescent="0.25">
      <c r="A481">
        <v>2026</v>
      </c>
      <c r="B481" s="1" t="s">
        <v>92</v>
      </c>
      <c r="C481" s="1" t="s">
        <v>93</v>
      </c>
      <c r="D481" s="1" t="s">
        <v>94</v>
      </c>
      <c r="E481" s="1" t="s">
        <v>95</v>
      </c>
      <c r="F481" s="1" t="s">
        <v>16</v>
      </c>
      <c r="G481">
        <v>13.27</v>
      </c>
      <c r="H481">
        <v>5.9</v>
      </c>
      <c r="I481">
        <v>0.38</v>
      </c>
      <c r="J481">
        <v>19.899999999999999</v>
      </c>
      <c r="K481">
        <v>85.2</v>
      </c>
      <c r="L481">
        <v>66</v>
      </c>
    </row>
    <row r="482" spans="1:12" x14ac:dyDescent="0.25">
      <c r="A482">
        <v>2010</v>
      </c>
      <c r="B482" s="1" t="s">
        <v>96</v>
      </c>
      <c r="C482" s="1" t="s">
        <v>97</v>
      </c>
      <c r="D482" s="1" t="s">
        <v>98</v>
      </c>
      <c r="E482" s="1" t="s">
        <v>95</v>
      </c>
      <c r="F482" s="1" t="s">
        <v>23</v>
      </c>
      <c r="G482">
        <v>0.39</v>
      </c>
      <c r="H482">
        <v>5.9</v>
      </c>
      <c r="I482">
        <v>0.05</v>
      </c>
      <c r="J482">
        <v>1.6</v>
      </c>
      <c r="K482">
        <v>84.2</v>
      </c>
      <c r="L482">
        <v>1</v>
      </c>
    </row>
    <row r="483" spans="1:12" x14ac:dyDescent="0.25">
      <c r="A483">
        <v>2011</v>
      </c>
      <c r="B483" s="1" t="s">
        <v>96</v>
      </c>
      <c r="C483" s="1" t="s">
        <v>97</v>
      </c>
      <c r="D483" s="1" t="s">
        <v>98</v>
      </c>
      <c r="E483" s="1" t="s">
        <v>95</v>
      </c>
      <c r="F483" s="1" t="s">
        <v>23</v>
      </c>
      <c r="G483">
        <v>0.69</v>
      </c>
      <c r="H483">
        <v>5.9</v>
      </c>
      <c r="I483">
        <v>0.08</v>
      </c>
      <c r="J483">
        <v>2.8</v>
      </c>
      <c r="K483">
        <v>87.6</v>
      </c>
      <c r="L483">
        <v>3</v>
      </c>
    </row>
    <row r="484" spans="1:12" x14ac:dyDescent="0.25">
      <c r="A484">
        <v>2012</v>
      </c>
      <c r="B484" s="1" t="s">
        <v>96</v>
      </c>
      <c r="C484" s="1" t="s">
        <v>97</v>
      </c>
      <c r="D484" s="1" t="s">
        <v>98</v>
      </c>
      <c r="E484" s="1" t="s">
        <v>95</v>
      </c>
      <c r="F484" s="1" t="s">
        <v>23</v>
      </c>
      <c r="G484">
        <v>0.99</v>
      </c>
      <c r="H484">
        <v>5.9</v>
      </c>
      <c r="I484">
        <v>0.16</v>
      </c>
      <c r="J484">
        <v>3.9</v>
      </c>
      <c r="K484">
        <v>86.4</v>
      </c>
      <c r="L484">
        <v>4</v>
      </c>
    </row>
    <row r="485" spans="1:12" x14ac:dyDescent="0.25">
      <c r="A485">
        <v>2013</v>
      </c>
      <c r="B485" s="1" t="s">
        <v>96</v>
      </c>
      <c r="C485" s="1" t="s">
        <v>97</v>
      </c>
      <c r="D485" s="1" t="s">
        <v>98</v>
      </c>
      <c r="E485" s="1" t="s">
        <v>95</v>
      </c>
      <c r="F485" s="1" t="s">
        <v>23</v>
      </c>
      <c r="G485">
        <v>1.1599999999999999</v>
      </c>
      <c r="H485">
        <v>5.9</v>
      </c>
      <c r="I485">
        <v>0.13</v>
      </c>
      <c r="J485">
        <v>4.5999999999999996</v>
      </c>
      <c r="K485">
        <v>88</v>
      </c>
      <c r="L485">
        <v>5</v>
      </c>
    </row>
    <row r="486" spans="1:12" x14ac:dyDescent="0.25">
      <c r="A486">
        <v>2014</v>
      </c>
      <c r="B486" s="1" t="s">
        <v>96</v>
      </c>
      <c r="C486" s="1" t="s">
        <v>97</v>
      </c>
      <c r="D486" s="1" t="s">
        <v>98</v>
      </c>
      <c r="E486" s="1" t="s">
        <v>95</v>
      </c>
      <c r="F486" s="1" t="s">
        <v>23</v>
      </c>
      <c r="G486">
        <v>1.44</v>
      </c>
      <c r="H486">
        <v>5.9</v>
      </c>
      <c r="I486">
        <v>0.16</v>
      </c>
      <c r="J486">
        <v>5.7</v>
      </c>
      <c r="K486">
        <v>89.9</v>
      </c>
      <c r="L486">
        <v>7</v>
      </c>
    </row>
    <row r="487" spans="1:12" x14ac:dyDescent="0.25">
      <c r="A487">
        <v>2015</v>
      </c>
      <c r="B487" s="1" t="s">
        <v>96</v>
      </c>
      <c r="C487" s="1" t="s">
        <v>97</v>
      </c>
      <c r="D487" s="1" t="s">
        <v>98</v>
      </c>
      <c r="E487" s="1" t="s">
        <v>95</v>
      </c>
      <c r="F487" s="1" t="s">
        <v>23</v>
      </c>
      <c r="G487">
        <v>1.69</v>
      </c>
      <c r="H487">
        <v>5.9</v>
      </c>
      <c r="I487">
        <v>0.3</v>
      </c>
      <c r="J487">
        <v>6.8</v>
      </c>
      <c r="K487">
        <v>87.2</v>
      </c>
      <c r="L487">
        <v>8</v>
      </c>
    </row>
    <row r="488" spans="1:12" x14ac:dyDescent="0.25">
      <c r="A488">
        <v>2016</v>
      </c>
      <c r="B488" s="1" t="s">
        <v>96</v>
      </c>
      <c r="C488" s="1" t="s">
        <v>97</v>
      </c>
      <c r="D488" s="1" t="s">
        <v>98</v>
      </c>
      <c r="E488" s="1" t="s">
        <v>95</v>
      </c>
      <c r="F488" s="1" t="s">
        <v>23</v>
      </c>
      <c r="G488">
        <v>2.11</v>
      </c>
      <c r="H488">
        <v>5.9</v>
      </c>
      <c r="I488">
        <v>0.27</v>
      </c>
      <c r="J488">
        <v>8.4</v>
      </c>
      <c r="K488">
        <v>88.9</v>
      </c>
      <c r="L488">
        <v>10</v>
      </c>
    </row>
    <row r="489" spans="1:12" x14ac:dyDescent="0.25">
      <c r="A489">
        <v>2017</v>
      </c>
      <c r="B489" s="1" t="s">
        <v>96</v>
      </c>
      <c r="C489" s="1" t="s">
        <v>97</v>
      </c>
      <c r="D489" s="1" t="s">
        <v>98</v>
      </c>
      <c r="E489" s="1" t="s">
        <v>95</v>
      </c>
      <c r="F489" s="1" t="s">
        <v>23</v>
      </c>
      <c r="G489">
        <v>2.25</v>
      </c>
      <c r="H489">
        <v>5.9</v>
      </c>
      <c r="I489">
        <v>0.22</v>
      </c>
      <c r="J489">
        <v>9</v>
      </c>
      <c r="K489">
        <v>87.9</v>
      </c>
      <c r="L489">
        <v>11</v>
      </c>
    </row>
    <row r="490" spans="1:12" x14ac:dyDescent="0.25">
      <c r="A490">
        <v>2018</v>
      </c>
      <c r="B490" s="1" t="s">
        <v>96</v>
      </c>
      <c r="C490" s="1" t="s">
        <v>97</v>
      </c>
      <c r="D490" s="1" t="s">
        <v>98</v>
      </c>
      <c r="E490" s="1" t="s">
        <v>95</v>
      </c>
      <c r="F490" s="1" t="s">
        <v>23</v>
      </c>
      <c r="G490">
        <v>2.68</v>
      </c>
      <c r="H490">
        <v>5.9</v>
      </c>
      <c r="I490">
        <v>0.32</v>
      </c>
      <c r="J490">
        <v>10.7</v>
      </c>
      <c r="K490">
        <v>84.4</v>
      </c>
      <c r="L490">
        <v>13</v>
      </c>
    </row>
    <row r="491" spans="1:12" x14ac:dyDescent="0.25">
      <c r="A491">
        <v>2019</v>
      </c>
      <c r="B491" s="1" t="s">
        <v>96</v>
      </c>
      <c r="C491" s="1" t="s">
        <v>97</v>
      </c>
      <c r="D491" s="1" t="s">
        <v>98</v>
      </c>
      <c r="E491" s="1" t="s">
        <v>95</v>
      </c>
      <c r="F491" s="1" t="s">
        <v>23</v>
      </c>
      <c r="G491">
        <v>2.69</v>
      </c>
      <c r="H491">
        <v>5.9</v>
      </c>
      <c r="I491">
        <v>0.23</v>
      </c>
      <c r="J491">
        <v>10.8</v>
      </c>
      <c r="K491">
        <v>83.5</v>
      </c>
      <c r="L491">
        <v>13</v>
      </c>
    </row>
    <row r="492" spans="1:12" x14ac:dyDescent="0.25">
      <c r="A492">
        <v>2020</v>
      </c>
      <c r="B492" s="1" t="s">
        <v>96</v>
      </c>
      <c r="C492" s="1" t="s">
        <v>97</v>
      </c>
      <c r="D492" s="1" t="s">
        <v>98</v>
      </c>
      <c r="E492" s="1" t="s">
        <v>95</v>
      </c>
      <c r="F492" s="1" t="s">
        <v>23</v>
      </c>
      <c r="G492">
        <v>1.1000000000000001</v>
      </c>
      <c r="H492">
        <v>5.9</v>
      </c>
      <c r="I492">
        <v>-0.36</v>
      </c>
      <c r="J492">
        <v>4.4000000000000004</v>
      </c>
      <c r="K492">
        <v>55</v>
      </c>
      <c r="L492">
        <v>5</v>
      </c>
    </row>
    <row r="493" spans="1:12" x14ac:dyDescent="0.25">
      <c r="A493">
        <v>2021</v>
      </c>
      <c r="B493" s="1" t="s">
        <v>96</v>
      </c>
      <c r="C493" s="1" t="s">
        <v>97</v>
      </c>
      <c r="D493" s="1" t="s">
        <v>98</v>
      </c>
      <c r="E493" s="1" t="s">
        <v>95</v>
      </c>
      <c r="F493" s="1" t="s">
        <v>23</v>
      </c>
      <c r="G493">
        <v>1.5</v>
      </c>
      <c r="H493">
        <v>5.9</v>
      </c>
      <c r="I493">
        <v>-0.28000000000000003</v>
      </c>
      <c r="J493">
        <v>6</v>
      </c>
      <c r="K493">
        <v>69.7</v>
      </c>
      <c r="L493">
        <v>7</v>
      </c>
    </row>
    <row r="494" spans="1:12" x14ac:dyDescent="0.25">
      <c r="A494">
        <v>2022</v>
      </c>
      <c r="B494" s="1" t="s">
        <v>96</v>
      </c>
      <c r="C494" s="1" t="s">
        <v>97</v>
      </c>
      <c r="D494" s="1" t="s">
        <v>98</v>
      </c>
      <c r="E494" s="1" t="s">
        <v>95</v>
      </c>
      <c r="F494" s="1" t="s">
        <v>23</v>
      </c>
      <c r="G494">
        <v>3.19</v>
      </c>
      <c r="H494">
        <v>5.9</v>
      </c>
      <c r="I494">
        <v>-0.05</v>
      </c>
      <c r="J494">
        <v>12.8</v>
      </c>
      <c r="K494">
        <v>86.2</v>
      </c>
      <c r="L494">
        <v>15</v>
      </c>
    </row>
    <row r="495" spans="1:12" x14ac:dyDescent="0.25">
      <c r="A495">
        <v>2023</v>
      </c>
      <c r="B495" s="1" t="s">
        <v>96</v>
      </c>
      <c r="C495" s="1" t="s">
        <v>97</v>
      </c>
      <c r="D495" s="1" t="s">
        <v>98</v>
      </c>
      <c r="E495" s="1" t="s">
        <v>95</v>
      </c>
      <c r="F495" s="1" t="s">
        <v>23</v>
      </c>
      <c r="G495">
        <v>3.89</v>
      </c>
      <c r="H495">
        <v>5.9</v>
      </c>
      <c r="I495">
        <v>0.51</v>
      </c>
      <c r="J495">
        <v>15.6</v>
      </c>
      <c r="K495">
        <v>88.1</v>
      </c>
      <c r="L495">
        <v>19</v>
      </c>
    </row>
    <row r="496" spans="1:12" x14ac:dyDescent="0.25">
      <c r="A496">
        <v>2024</v>
      </c>
      <c r="B496" s="1" t="s">
        <v>96</v>
      </c>
      <c r="C496" s="1" t="s">
        <v>97</v>
      </c>
      <c r="D496" s="1" t="s">
        <v>98</v>
      </c>
      <c r="E496" s="1" t="s">
        <v>95</v>
      </c>
      <c r="F496" s="1" t="s">
        <v>23</v>
      </c>
      <c r="G496">
        <v>4.21</v>
      </c>
      <c r="H496">
        <v>5.9</v>
      </c>
      <c r="I496">
        <v>0.54</v>
      </c>
      <c r="J496">
        <v>16.899999999999999</v>
      </c>
      <c r="K496">
        <v>88.6</v>
      </c>
      <c r="L496">
        <v>21</v>
      </c>
    </row>
    <row r="497" spans="1:12" x14ac:dyDescent="0.25">
      <c r="A497">
        <v>2025</v>
      </c>
      <c r="B497" s="1" t="s">
        <v>96</v>
      </c>
      <c r="C497" s="1" t="s">
        <v>97</v>
      </c>
      <c r="D497" s="1" t="s">
        <v>98</v>
      </c>
      <c r="E497" s="1" t="s">
        <v>95</v>
      </c>
      <c r="F497" s="1" t="s">
        <v>23</v>
      </c>
      <c r="G497">
        <v>4.3899999999999997</v>
      </c>
      <c r="H497">
        <v>5.9</v>
      </c>
      <c r="I497">
        <v>0.62</v>
      </c>
      <c r="J497">
        <v>17.600000000000001</v>
      </c>
      <c r="K497">
        <v>84.3</v>
      </c>
      <c r="L497">
        <v>21</v>
      </c>
    </row>
    <row r="498" spans="1:12" x14ac:dyDescent="0.25">
      <c r="A498">
        <v>2026</v>
      </c>
      <c r="B498" s="1" t="s">
        <v>96</v>
      </c>
      <c r="C498" s="1" t="s">
        <v>97</v>
      </c>
      <c r="D498" s="1" t="s">
        <v>98</v>
      </c>
      <c r="E498" s="1" t="s">
        <v>95</v>
      </c>
      <c r="F498" s="1" t="s">
        <v>23</v>
      </c>
      <c r="G498">
        <v>4.8499999999999996</v>
      </c>
      <c r="H498">
        <v>5.9</v>
      </c>
      <c r="I498">
        <v>0.6</v>
      </c>
      <c r="J498">
        <v>19.399999999999999</v>
      </c>
      <c r="K498">
        <v>85.8</v>
      </c>
      <c r="L498">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1DDEC-687A-47DE-9E8D-038A3BDECB12}">
  <sheetPr>
    <tabColor theme="9" tint="-0.249977111117893"/>
  </sheetPr>
  <dimension ref="A1:J87"/>
  <sheetViews>
    <sheetView workbookViewId="0">
      <selection sqref="A1:J87"/>
    </sheetView>
  </sheetViews>
  <sheetFormatPr defaultRowHeight="15" x14ac:dyDescent="0.25"/>
  <cols>
    <col min="1" max="1" width="7.140625" bestFit="1" customWidth="1"/>
    <col min="2" max="2" width="15.5703125" bestFit="1" customWidth="1"/>
    <col min="3" max="3" width="16.42578125" bestFit="1" customWidth="1"/>
    <col min="4" max="4" width="14.85546875" bestFit="1" customWidth="1"/>
    <col min="5" max="5" width="13" bestFit="1" customWidth="1"/>
    <col min="6" max="6" width="12.28515625" bestFit="1" customWidth="1"/>
    <col min="7" max="7" width="22.140625" bestFit="1" customWidth="1"/>
    <col min="8" max="8" width="14.42578125" bestFit="1" customWidth="1"/>
    <col min="9" max="9" width="16.42578125" bestFit="1" customWidth="1"/>
    <col min="10" max="10" width="13" bestFit="1" customWidth="1"/>
  </cols>
  <sheetData>
    <row r="1" spans="1:10" x14ac:dyDescent="0.25">
      <c r="A1" t="s">
        <v>0</v>
      </c>
      <c r="B1" t="s">
        <v>99</v>
      </c>
      <c r="C1" t="s">
        <v>100</v>
      </c>
      <c r="D1" t="s">
        <v>101</v>
      </c>
      <c r="E1" t="s">
        <v>102</v>
      </c>
      <c r="F1" t="s">
        <v>103</v>
      </c>
      <c r="G1" t="s">
        <v>104</v>
      </c>
      <c r="H1" t="s">
        <v>105</v>
      </c>
      <c r="I1" t="s">
        <v>106</v>
      </c>
      <c r="J1" t="s">
        <v>107</v>
      </c>
    </row>
    <row r="2" spans="1:10" x14ac:dyDescent="0.25">
      <c r="A2">
        <v>2010</v>
      </c>
      <c r="B2" s="1" t="s">
        <v>108</v>
      </c>
      <c r="C2" s="1" t="s">
        <v>109</v>
      </c>
      <c r="D2">
        <v>452</v>
      </c>
      <c r="E2">
        <v>452</v>
      </c>
      <c r="F2">
        <v>401</v>
      </c>
      <c r="G2">
        <v>2440</v>
      </c>
      <c r="H2">
        <v>0</v>
      </c>
      <c r="I2">
        <v>1</v>
      </c>
      <c r="J2">
        <v>0</v>
      </c>
    </row>
    <row r="3" spans="1:10" x14ac:dyDescent="0.25">
      <c r="A3">
        <v>2010</v>
      </c>
      <c r="B3" s="1" t="s">
        <v>108</v>
      </c>
      <c r="C3" s="1" t="s">
        <v>110</v>
      </c>
      <c r="D3">
        <v>122</v>
      </c>
      <c r="E3">
        <v>122</v>
      </c>
      <c r="F3">
        <v>109</v>
      </c>
      <c r="G3">
        <v>776</v>
      </c>
      <c r="H3">
        <v>1</v>
      </c>
      <c r="I3">
        <v>0</v>
      </c>
      <c r="J3">
        <v>0</v>
      </c>
    </row>
    <row r="4" spans="1:10" x14ac:dyDescent="0.25">
      <c r="A4">
        <v>2010</v>
      </c>
      <c r="B4" s="1" t="s">
        <v>111</v>
      </c>
      <c r="C4" s="1" t="s">
        <v>112</v>
      </c>
      <c r="D4">
        <v>506</v>
      </c>
      <c r="E4">
        <v>506</v>
      </c>
      <c r="F4">
        <v>376</v>
      </c>
      <c r="G4">
        <v>2079</v>
      </c>
      <c r="H4">
        <v>0</v>
      </c>
      <c r="I4">
        <v>1</v>
      </c>
      <c r="J4">
        <v>0</v>
      </c>
    </row>
    <row r="5" spans="1:10" x14ac:dyDescent="0.25">
      <c r="A5">
        <v>2010</v>
      </c>
      <c r="B5" s="1" t="s">
        <v>111</v>
      </c>
      <c r="C5" s="1" t="s">
        <v>113</v>
      </c>
      <c r="D5">
        <v>24</v>
      </c>
      <c r="E5">
        <v>24</v>
      </c>
      <c r="F5">
        <v>86</v>
      </c>
      <c r="G5">
        <v>1057</v>
      </c>
      <c r="H5">
        <v>1</v>
      </c>
      <c r="I5">
        <v>0</v>
      </c>
      <c r="J5">
        <v>0</v>
      </c>
    </row>
    <row r="6" spans="1:10" x14ac:dyDescent="0.25">
      <c r="A6">
        <v>2011</v>
      </c>
      <c r="B6" s="1" t="s">
        <v>108</v>
      </c>
      <c r="C6" s="1" t="s">
        <v>109</v>
      </c>
      <c r="D6">
        <v>719</v>
      </c>
      <c r="E6">
        <v>719</v>
      </c>
      <c r="F6">
        <v>431</v>
      </c>
      <c r="G6">
        <v>3061</v>
      </c>
      <c r="H6">
        <v>0</v>
      </c>
      <c r="I6">
        <v>1</v>
      </c>
      <c r="J6">
        <v>0</v>
      </c>
    </row>
    <row r="7" spans="1:10" x14ac:dyDescent="0.25">
      <c r="A7">
        <v>2011</v>
      </c>
      <c r="B7" s="1" t="s">
        <v>108</v>
      </c>
      <c r="C7" s="1" t="s">
        <v>110</v>
      </c>
      <c r="D7">
        <v>203</v>
      </c>
      <c r="E7">
        <v>203</v>
      </c>
      <c r="F7">
        <v>117</v>
      </c>
      <c r="G7">
        <v>895</v>
      </c>
      <c r="H7">
        <v>1</v>
      </c>
      <c r="I7">
        <v>0</v>
      </c>
      <c r="J7">
        <v>0</v>
      </c>
    </row>
    <row r="8" spans="1:10" x14ac:dyDescent="0.25">
      <c r="A8">
        <v>2011</v>
      </c>
      <c r="B8" s="1" t="s">
        <v>111</v>
      </c>
      <c r="C8" s="1" t="s">
        <v>112</v>
      </c>
      <c r="D8">
        <v>740</v>
      </c>
      <c r="E8">
        <v>740</v>
      </c>
      <c r="F8">
        <v>397</v>
      </c>
      <c r="G8">
        <v>2612</v>
      </c>
      <c r="H8">
        <v>0</v>
      </c>
      <c r="I8">
        <v>1</v>
      </c>
      <c r="J8">
        <v>0</v>
      </c>
    </row>
    <row r="9" spans="1:10" x14ac:dyDescent="0.25">
      <c r="A9">
        <v>2011</v>
      </c>
      <c r="B9" s="1" t="s">
        <v>111</v>
      </c>
      <c r="C9" s="1" t="s">
        <v>113</v>
      </c>
      <c r="D9">
        <v>123</v>
      </c>
      <c r="E9">
        <v>123</v>
      </c>
      <c r="F9">
        <v>126</v>
      </c>
      <c r="G9">
        <v>1162</v>
      </c>
      <c r="H9">
        <v>1</v>
      </c>
      <c r="I9">
        <v>0</v>
      </c>
      <c r="J9">
        <v>0</v>
      </c>
    </row>
    <row r="10" spans="1:10" x14ac:dyDescent="0.25">
      <c r="A10">
        <v>2012</v>
      </c>
      <c r="B10" s="1" t="s">
        <v>108</v>
      </c>
      <c r="C10" s="1" t="s">
        <v>109</v>
      </c>
      <c r="D10">
        <v>986</v>
      </c>
      <c r="E10">
        <v>986</v>
      </c>
      <c r="F10">
        <v>462</v>
      </c>
      <c r="G10">
        <v>3682</v>
      </c>
      <c r="H10">
        <v>0</v>
      </c>
      <c r="I10">
        <v>1</v>
      </c>
      <c r="J10">
        <v>0</v>
      </c>
    </row>
    <row r="11" spans="1:10" x14ac:dyDescent="0.25">
      <c r="A11">
        <v>2012</v>
      </c>
      <c r="B11" s="1" t="s">
        <v>108</v>
      </c>
      <c r="C11" s="1" t="s">
        <v>110</v>
      </c>
      <c r="D11">
        <v>284</v>
      </c>
      <c r="E11">
        <v>284</v>
      </c>
      <c r="F11">
        <v>125</v>
      </c>
      <c r="G11">
        <v>1014</v>
      </c>
      <c r="H11">
        <v>1</v>
      </c>
      <c r="I11">
        <v>0</v>
      </c>
      <c r="J11">
        <v>0</v>
      </c>
    </row>
    <row r="12" spans="1:10" x14ac:dyDescent="0.25">
      <c r="A12">
        <v>2012</v>
      </c>
      <c r="B12" s="1" t="s">
        <v>111</v>
      </c>
      <c r="C12" s="1" t="s">
        <v>112</v>
      </c>
      <c r="D12">
        <v>974</v>
      </c>
      <c r="E12">
        <v>974</v>
      </c>
      <c r="F12">
        <v>418</v>
      </c>
      <c r="G12">
        <v>3146</v>
      </c>
      <c r="H12">
        <v>0</v>
      </c>
      <c r="I12">
        <v>1</v>
      </c>
      <c r="J12">
        <v>0</v>
      </c>
    </row>
    <row r="13" spans="1:10" x14ac:dyDescent="0.25">
      <c r="A13">
        <v>2012</v>
      </c>
      <c r="B13" s="1" t="s">
        <v>111</v>
      </c>
      <c r="C13" s="1" t="s">
        <v>113</v>
      </c>
      <c r="D13">
        <v>223</v>
      </c>
      <c r="E13">
        <v>223</v>
      </c>
      <c r="F13">
        <v>167</v>
      </c>
      <c r="G13">
        <v>1267</v>
      </c>
      <c r="H13">
        <v>1</v>
      </c>
      <c r="I13">
        <v>0</v>
      </c>
      <c r="J13">
        <v>0</v>
      </c>
    </row>
    <row r="14" spans="1:10" x14ac:dyDescent="0.25">
      <c r="A14">
        <v>2013</v>
      </c>
      <c r="B14" s="1" t="s">
        <v>108</v>
      </c>
      <c r="C14" s="1" t="s">
        <v>109</v>
      </c>
      <c r="D14">
        <v>1253</v>
      </c>
      <c r="E14">
        <v>1253</v>
      </c>
      <c r="F14">
        <v>493</v>
      </c>
      <c r="G14">
        <v>4304</v>
      </c>
      <c r="H14">
        <v>0</v>
      </c>
      <c r="I14">
        <v>1</v>
      </c>
      <c r="J14">
        <v>0</v>
      </c>
    </row>
    <row r="15" spans="1:10" x14ac:dyDescent="0.25">
      <c r="A15">
        <v>2013</v>
      </c>
      <c r="B15" s="1" t="s">
        <v>108</v>
      </c>
      <c r="C15" s="1" t="s">
        <v>110</v>
      </c>
      <c r="D15">
        <v>366</v>
      </c>
      <c r="E15">
        <v>366</v>
      </c>
      <c r="F15">
        <v>133</v>
      </c>
      <c r="G15">
        <v>1133</v>
      </c>
      <c r="H15">
        <v>1</v>
      </c>
      <c r="I15">
        <v>0</v>
      </c>
      <c r="J15">
        <v>0</v>
      </c>
    </row>
    <row r="16" spans="1:10" x14ac:dyDescent="0.25">
      <c r="A16">
        <v>2013</v>
      </c>
      <c r="B16" s="1" t="s">
        <v>111</v>
      </c>
      <c r="C16" s="1" t="s">
        <v>112</v>
      </c>
      <c r="D16">
        <v>1208</v>
      </c>
      <c r="E16">
        <v>1208</v>
      </c>
      <c r="F16">
        <v>440</v>
      </c>
      <c r="G16">
        <v>3680</v>
      </c>
      <c r="H16">
        <v>0</v>
      </c>
      <c r="I16">
        <v>1</v>
      </c>
      <c r="J16">
        <v>0</v>
      </c>
    </row>
    <row r="17" spans="1:10" x14ac:dyDescent="0.25">
      <c r="A17">
        <v>2013</v>
      </c>
      <c r="B17" s="1" t="s">
        <v>111</v>
      </c>
      <c r="C17" s="1" t="s">
        <v>113</v>
      </c>
      <c r="D17">
        <v>323</v>
      </c>
      <c r="E17">
        <v>323</v>
      </c>
      <c r="F17">
        <v>208</v>
      </c>
      <c r="G17">
        <v>1373</v>
      </c>
      <c r="H17">
        <v>1</v>
      </c>
      <c r="I17">
        <v>0</v>
      </c>
      <c r="J17">
        <v>0</v>
      </c>
    </row>
    <row r="18" spans="1:10" x14ac:dyDescent="0.25">
      <c r="A18">
        <v>2014</v>
      </c>
      <c r="B18" s="1" t="s">
        <v>108</v>
      </c>
      <c r="C18" s="1" t="s">
        <v>109</v>
      </c>
      <c r="D18">
        <v>1075</v>
      </c>
      <c r="E18">
        <v>1075</v>
      </c>
      <c r="F18">
        <v>492</v>
      </c>
      <c r="G18">
        <v>4924</v>
      </c>
      <c r="H18">
        <v>0</v>
      </c>
      <c r="I18">
        <v>1</v>
      </c>
      <c r="J18">
        <v>0</v>
      </c>
    </row>
    <row r="19" spans="1:10" x14ac:dyDescent="0.25">
      <c r="A19">
        <v>2014</v>
      </c>
      <c r="B19" s="1" t="s">
        <v>108</v>
      </c>
      <c r="C19" s="1" t="s">
        <v>110</v>
      </c>
      <c r="D19">
        <v>252</v>
      </c>
      <c r="E19">
        <v>252</v>
      </c>
      <c r="F19">
        <v>138</v>
      </c>
      <c r="G19">
        <v>1247</v>
      </c>
      <c r="H19">
        <v>1</v>
      </c>
      <c r="I19">
        <v>0</v>
      </c>
      <c r="J19">
        <v>0</v>
      </c>
    </row>
    <row r="20" spans="1:10" x14ac:dyDescent="0.25">
      <c r="A20">
        <v>2014</v>
      </c>
      <c r="B20" s="1" t="s">
        <v>111</v>
      </c>
      <c r="C20" s="1" t="s">
        <v>112</v>
      </c>
      <c r="D20">
        <v>898</v>
      </c>
      <c r="E20">
        <v>898</v>
      </c>
      <c r="F20">
        <v>467</v>
      </c>
      <c r="G20">
        <v>4036</v>
      </c>
      <c r="H20">
        <v>0</v>
      </c>
      <c r="I20">
        <v>1</v>
      </c>
      <c r="J20">
        <v>0</v>
      </c>
    </row>
    <row r="21" spans="1:10" x14ac:dyDescent="0.25">
      <c r="A21">
        <v>2014</v>
      </c>
      <c r="B21" s="1" t="s">
        <v>111</v>
      </c>
      <c r="C21" s="1" t="s">
        <v>113</v>
      </c>
      <c r="D21">
        <v>251</v>
      </c>
      <c r="E21">
        <v>251</v>
      </c>
      <c r="F21">
        <v>238</v>
      </c>
      <c r="G21">
        <v>1384</v>
      </c>
      <c r="H21">
        <v>1</v>
      </c>
      <c r="I21">
        <v>0</v>
      </c>
      <c r="J21">
        <v>0</v>
      </c>
    </row>
    <row r="22" spans="1:10" x14ac:dyDescent="0.25">
      <c r="A22">
        <v>2015</v>
      </c>
      <c r="B22" s="1" t="s">
        <v>108</v>
      </c>
      <c r="C22" s="1" t="s">
        <v>109</v>
      </c>
      <c r="D22">
        <v>897</v>
      </c>
      <c r="E22">
        <v>897</v>
      </c>
      <c r="F22">
        <v>491</v>
      </c>
      <c r="G22">
        <v>5545</v>
      </c>
      <c r="H22">
        <v>0</v>
      </c>
      <c r="I22">
        <v>1</v>
      </c>
      <c r="J22">
        <v>0</v>
      </c>
    </row>
    <row r="23" spans="1:10" x14ac:dyDescent="0.25">
      <c r="A23">
        <v>2015</v>
      </c>
      <c r="B23" s="1" t="s">
        <v>108</v>
      </c>
      <c r="C23" s="1" t="s">
        <v>110</v>
      </c>
      <c r="D23">
        <v>139</v>
      </c>
      <c r="E23">
        <v>139</v>
      </c>
      <c r="F23">
        <v>144</v>
      </c>
      <c r="G23">
        <v>1361</v>
      </c>
      <c r="H23">
        <v>1</v>
      </c>
      <c r="I23">
        <v>0</v>
      </c>
      <c r="J23">
        <v>0</v>
      </c>
    </row>
    <row r="24" spans="1:10" x14ac:dyDescent="0.25">
      <c r="A24">
        <v>2015</v>
      </c>
      <c r="B24" s="1" t="s">
        <v>111</v>
      </c>
      <c r="C24" s="1" t="s">
        <v>112</v>
      </c>
      <c r="D24">
        <v>588</v>
      </c>
      <c r="E24">
        <v>588</v>
      </c>
      <c r="F24">
        <v>495</v>
      </c>
      <c r="G24">
        <v>4392</v>
      </c>
      <c r="H24">
        <v>0</v>
      </c>
      <c r="I24">
        <v>1</v>
      </c>
      <c r="J24">
        <v>0</v>
      </c>
    </row>
    <row r="25" spans="1:10" x14ac:dyDescent="0.25">
      <c r="A25">
        <v>2015</v>
      </c>
      <c r="B25" s="1" t="s">
        <v>111</v>
      </c>
      <c r="C25" s="1" t="s">
        <v>113</v>
      </c>
      <c r="D25">
        <v>180</v>
      </c>
      <c r="E25">
        <v>180</v>
      </c>
      <c r="F25">
        <v>268</v>
      </c>
      <c r="G25">
        <v>1395</v>
      </c>
      <c r="H25">
        <v>1</v>
      </c>
      <c r="I25">
        <v>0</v>
      </c>
      <c r="J25">
        <v>0</v>
      </c>
    </row>
    <row r="26" spans="1:10" x14ac:dyDescent="0.25">
      <c r="A26">
        <v>2016</v>
      </c>
      <c r="B26" s="1" t="s">
        <v>108</v>
      </c>
      <c r="C26" s="1" t="s">
        <v>109</v>
      </c>
      <c r="D26">
        <v>975</v>
      </c>
      <c r="E26">
        <v>975</v>
      </c>
      <c r="F26">
        <v>524</v>
      </c>
      <c r="G26">
        <v>5688</v>
      </c>
      <c r="H26">
        <v>0</v>
      </c>
      <c r="I26">
        <v>1</v>
      </c>
      <c r="J26">
        <v>0</v>
      </c>
    </row>
    <row r="27" spans="1:10" x14ac:dyDescent="0.25">
      <c r="A27">
        <v>2016</v>
      </c>
      <c r="B27" s="1" t="s">
        <v>108</v>
      </c>
      <c r="C27" s="1" t="s">
        <v>110</v>
      </c>
      <c r="D27">
        <v>106</v>
      </c>
      <c r="E27">
        <v>106</v>
      </c>
      <c r="F27">
        <v>131</v>
      </c>
      <c r="G27">
        <v>1317</v>
      </c>
      <c r="H27">
        <v>1</v>
      </c>
      <c r="I27">
        <v>0</v>
      </c>
      <c r="J27">
        <v>0</v>
      </c>
    </row>
    <row r="28" spans="1:10" x14ac:dyDescent="0.25">
      <c r="A28">
        <v>2016</v>
      </c>
      <c r="B28" s="1" t="s">
        <v>111</v>
      </c>
      <c r="C28" s="1" t="s">
        <v>112</v>
      </c>
      <c r="D28">
        <v>666</v>
      </c>
      <c r="E28">
        <v>666</v>
      </c>
      <c r="F28">
        <v>512</v>
      </c>
      <c r="G28">
        <v>4530</v>
      </c>
      <c r="H28">
        <v>0</v>
      </c>
      <c r="I28">
        <v>1</v>
      </c>
      <c r="J28">
        <v>0</v>
      </c>
    </row>
    <row r="29" spans="1:10" x14ac:dyDescent="0.25">
      <c r="A29">
        <v>2016</v>
      </c>
      <c r="B29" s="1" t="s">
        <v>111</v>
      </c>
      <c r="C29" s="1" t="s">
        <v>113</v>
      </c>
      <c r="D29">
        <v>173</v>
      </c>
      <c r="E29">
        <v>173</v>
      </c>
      <c r="F29">
        <v>251</v>
      </c>
      <c r="G29">
        <v>1407</v>
      </c>
      <c r="H29">
        <v>1</v>
      </c>
      <c r="I29">
        <v>0</v>
      </c>
      <c r="J29">
        <v>0</v>
      </c>
    </row>
    <row r="30" spans="1:10" x14ac:dyDescent="0.25">
      <c r="A30">
        <v>2017</v>
      </c>
      <c r="B30" s="1" t="s">
        <v>108</v>
      </c>
      <c r="C30" s="1" t="s">
        <v>109</v>
      </c>
      <c r="D30">
        <v>1054</v>
      </c>
      <c r="E30">
        <v>1054</v>
      </c>
      <c r="F30">
        <v>558</v>
      </c>
      <c r="G30">
        <v>5832</v>
      </c>
      <c r="H30">
        <v>0</v>
      </c>
      <c r="I30">
        <v>1</v>
      </c>
      <c r="J30">
        <v>0</v>
      </c>
    </row>
    <row r="31" spans="1:10" x14ac:dyDescent="0.25">
      <c r="A31">
        <v>2017</v>
      </c>
      <c r="B31" s="1" t="s">
        <v>108</v>
      </c>
      <c r="C31" s="1" t="s">
        <v>110</v>
      </c>
      <c r="D31">
        <v>73</v>
      </c>
      <c r="E31">
        <v>73</v>
      </c>
      <c r="F31">
        <v>119</v>
      </c>
      <c r="G31">
        <v>1273</v>
      </c>
      <c r="H31">
        <v>1</v>
      </c>
      <c r="I31">
        <v>0</v>
      </c>
      <c r="J31">
        <v>0</v>
      </c>
    </row>
    <row r="32" spans="1:10" x14ac:dyDescent="0.25">
      <c r="A32">
        <v>2017</v>
      </c>
      <c r="B32" s="1" t="s">
        <v>111</v>
      </c>
      <c r="C32" s="1" t="s">
        <v>112</v>
      </c>
      <c r="D32">
        <v>745</v>
      </c>
      <c r="E32">
        <v>745</v>
      </c>
      <c r="F32">
        <v>529</v>
      </c>
      <c r="G32">
        <v>4668</v>
      </c>
      <c r="H32">
        <v>0</v>
      </c>
      <c r="I32">
        <v>1</v>
      </c>
      <c r="J32">
        <v>0</v>
      </c>
    </row>
    <row r="33" spans="1:10" x14ac:dyDescent="0.25">
      <c r="A33">
        <v>2017</v>
      </c>
      <c r="B33" s="1" t="s">
        <v>111</v>
      </c>
      <c r="C33" s="1" t="s">
        <v>113</v>
      </c>
      <c r="D33">
        <v>167</v>
      </c>
      <c r="E33">
        <v>167</v>
      </c>
      <c r="F33">
        <v>234</v>
      </c>
      <c r="G33">
        <v>1419</v>
      </c>
      <c r="H33">
        <v>1</v>
      </c>
      <c r="I33">
        <v>0</v>
      </c>
      <c r="J33">
        <v>0</v>
      </c>
    </row>
    <row r="34" spans="1:10" x14ac:dyDescent="0.25">
      <c r="A34">
        <v>2018</v>
      </c>
      <c r="B34" s="1" t="s">
        <v>108</v>
      </c>
      <c r="C34" s="1" t="s">
        <v>109</v>
      </c>
      <c r="D34">
        <v>626</v>
      </c>
      <c r="E34">
        <v>626</v>
      </c>
      <c r="F34">
        <v>626</v>
      </c>
      <c r="G34">
        <v>5832</v>
      </c>
      <c r="H34">
        <v>0</v>
      </c>
      <c r="I34">
        <v>1</v>
      </c>
      <c r="J34">
        <v>0</v>
      </c>
    </row>
    <row r="35" spans="1:10" x14ac:dyDescent="0.25">
      <c r="A35">
        <v>2018</v>
      </c>
      <c r="B35" s="1" t="s">
        <v>108</v>
      </c>
      <c r="C35" s="1" t="s">
        <v>110</v>
      </c>
      <c r="D35">
        <v>122</v>
      </c>
      <c r="E35">
        <v>122</v>
      </c>
      <c r="F35">
        <v>174</v>
      </c>
      <c r="G35">
        <v>1224</v>
      </c>
      <c r="H35">
        <v>1</v>
      </c>
      <c r="I35">
        <v>0</v>
      </c>
      <c r="J35">
        <v>0</v>
      </c>
    </row>
    <row r="36" spans="1:10" x14ac:dyDescent="0.25">
      <c r="A36">
        <v>2018</v>
      </c>
      <c r="B36" s="1" t="s">
        <v>111</v>
      </c>
      <c r="C36" s="1" t="s">
        <v>112</v>
      </c>
      <c r="D36">
        <v>675</v>
      </c>
      <c r="E36">
        <v>675</v>
      </c>
      <c r="F36">
        <v>580</v>
      </c>
      <c r="G36">
        <v>4763</v>
      </c>
      <c r="H36">
        <v>0</v>
      </c>
      <c r="I36">
        <v>1</v>
      </c>
      <c r="J36">
        <v>0</v>
      </c>
    </row>
    <row r="37" spans="1:10" x14ac:dyDescent="0.25">
      <c r="A37">
        <v>2018</v>
      </c>
      <c r="B37" s="1" t="s">
        <v>111</v>
      </c>
      <c r="C37" s="1" t="s">
        <v>113</v>
      </c>
      <c r="D37">
        <v>218</v>
      </c>
      <c r="E37">
        <v>218</v>
      </c>
      <c r="F37">
        <v>226</v>
      </c>
      <c r="G37">
        <v>1466</v>
      </c>
      <c r="H37">
        <v>1</v>
      </c>
      <c r="I37">
        <v>0</v>
      </c>
      <c r="J37">
        <v>0</v>
      </c>
    </row>
    <row r="38" spans="1:10" x14ac:dyDescent="0.25">
      <c r="A38">
        <v>2018</v>
      </c>
      <c r="B38" s="1" t="s">
        <v>114</v>
      </c>
      <c r="C38" s="1" t="s">
        <v>115</v>
      </c>
      <c r="D38">
        <v>24</v>
      </c>
      <c r="E38">
        <v>24</v>
      </c>
      <c r="F38">
        <v>0</v>
      </c>
      <c r="G38">
        <v>815</v>
      </c>
      <c r="H38">
        <v>0</v>
      </c>
      <c r="I38">
        <v>1</v>
      </c>
      <c r="J38">
        <v>0</v>
      </c>
    </row>
    <row r="39" spans="1:10" x14ac:dyDescent="0.25">
      <c r="A39">
        <v>2018</v>
      </c>
      <c r="B39" s="1" t="s">
        <v>116</v>
      </c>
      <c r="C39" s="1" t="s">
        <v>117</v>
      </c>
      <c r="D39">
        <v>89</v>
      </c>
      <c r="E39">
        <v>89</v>
      </c>
      <c r="F39">
        <v>90</v>
      </c>
      <c r="G39">
        <v>414</v>
      </c>
      <c r="H39">
        <v>0</v>
      </c>
      <c r="I39">
        <v>0</v>
      </c>
      <c r="J39">
        <v>1</v>
      </c>
    </row>
    <row r="40" spans="1:10" x14ac:dyDescent="0.25">
      <c r="A40">
        <v>2019</v>
      </c>
      <c r="B40" s="1" t="s">
        <v>108</v>
      </c>
      <c r="C40" s="1" t="s">
        <v>109</v>
      </c>
      <c r="D40">
        <v>654</v>
      </c>
      <c r="E40">
        <v>654</v>
      </c>
      <c r="F40">
        <v>642</v>
      </c>
      <c r="G40">
        <v>5844</v>
      </c>
      <c r="H40">
        <v>0</v>
      </c>
      <c r="I40">
        <v>1</v>
      </c>
      <c r="J40">
        <v>0</v>
      </c>
    </row>
    <row r="41" spans="1:10" x14ac:dyDescent="0.25">
      <c r="A41">
        <v>2019</v>
      </c>
      <c r="B41" s="1" t="s">
        <v>108</v>
      </c>
      <c r="C41" s="1" t="s">
        <v>110</v>
      </c>
      <c r="D41">
        <v>114</v>
      </c>
      <c r="E41">
        <v>114</v>
      </c>
      <c r="F41">
        <v>221</v>
      </c>
      <c r="G41">
        <v>1117</v>
      </c>
      <c r="H41">
        <v>1</v>
      </c>
      <c r="I41">
        <v>0</v>
      </c>
      <c r="J41">
        <v>0</v>
      </c>
    </row>
    <row r="42" spans="1:10" x14ac:dyDescent="0.25">
      <c r="A42">
        <v>2019</v>
      </c>
      <c r="B42" s="1" t="s">
        <v>111</v>
      </c>
      <c r="C42" s="1" t="s">
        <v>112</v>
      </c>
      <c r="D42">
        <v>0</v>
      </c>
      <c r="E42">
        <v>-87</v>
      </c>
      <c r="F42">
        <v>127</v>
      </c>
      <c r="G42">
        <v>4396</v>
      </c>
      <c r="H42">
        <v>0</v>
      </c>
      <c r="I42">
        <v>1</v>
      </c>
      <c r="J42">
        <v>0</v>
      </c>
    </row>
    <row r="43" spans="1:10" x14ac:dyDescent="0.25">
      <c r="A43">
        <v>2019</v>
      </c>
      <c r="B43" s="1" t="s">
        <v>111</v>
      </c>
      <c r="C43" s="1" t="s">
        <v>113</v>
      </c>
      <c r="D43">
        <v>33</v>
      </c>
      <c r="E43">
        <v>33</v>
      </c>
      <c r="F43">
        <v>253</v>
      </c>
      <c r="G43">
        <v>1310</v>
      </c>
      <c r="H43">
        <v>1</v>
      </c>
      <c r="I43">
        <v>0</v>
      </c>
      <c r="J43">
        <v>0</v>
      </c>
    </row>
    <row r="44" spans="1:10" x14ac:dyDescent="0.25">
      <c r="A44">
        <v>2019</v>
      </c>
      <c r="B44" s="1" t="s">
        <v>114</v>
      </c>
      <c r="C44" s="1" t="s">
        <v>115</v>
      </c>
      <c r="D44">
        <v>27</v>
      </c>
      <c r="E44">
        <v>27</v>
      </c>
      <c r="F44">
        <v>0</v>
      </c>
      <c r="G44">
        <v>815</v>
      </c>
      <c r="H44">
        <v>0</v>
      </c>
      <c r="I44">
        <v>1</v>
      </c>
      <c r="J44">
        <v>0</v>
      </c>
    </row>
    <row r="45" spans="1:10" x14ac:dyDescent="0.25">
      <c r="A45">
        <v>2019</v>
      </c>
      <c r="B45" s="1" t="s">
        <v>116</v>
      </c>
      <c r="C45" s="1" t="s">
        <v>117</v>
      </c>
      <c r="D45">
        <v>58</v>
      </c>
      <c r="E45">
        <v>58</v>
      </c>
      <c r="F45">
        <v>73</v>
      </c>
      <c r="G45">
        <v>364</v>
      </c>
      <c r="H45">
        <v>0</v>
      </c>
      <c r="I45">
        <v>0</v>
      </c>
      <c r="J45">
        <v>1</v>
      </c>
    </row>
    <row r="46" spans="1:10" x14ac:dyDescent="0.25">
      <c r="A46">
        <v>2020</v>
      </c>
      <c r="B46" s="1" t="s">
        <v>108</v>
      </c>
      <c r="C46" s="1" t="s">
        <v>109</v>
      </c>
      <c r="D46">
        <v>296</v>
      </c>
      <c r="E46">
        <v>296</v>
      </c>
      <c r="F46">
        <v>446</v>
      </c>
      <c r="G46">
        <v>5598</v>
      </c>
      <c r="H46">
        <v>0</v>
      </c>
      <c r="I46">
        <v>1</v>
      </c>
      <c r="J46">
        <v>0</v>
      </c>
    </row>
    <row r="47" spans="1:10" x14ac:dyDescent="0.25">
      <c r="A47">
        <v>2020</v>
      </c>
      <c r="B47" s="1" t="s">
        <v>108</v>
      </c>
      <c r="C47" s="1" t="s">
        <v>110</v>
      </c>
      <c r="D47">
        <v>72</v>
      </c>
      <c r="E47">
        <v>72</v>
      </c>
      <c r="F47">
        <v>120</v>
      </c>
      <c r="G47">
        <v>1029</v>
      </c>
      <c r="H47">
        <v>1</v>
      </c>
      <c r="I47">
        <v>0</v>
      </c>
      <c r="J47">
        <v>0</v>
      </c>
    </row>
    <row r="48" spans="1:10" x14ac:dyDescent="0.25">
      <c r="A48">
        <v>2020</v>
      </c>
      <c r="B48" s="1" t="s">
        <v>111</v>
      </c>
      <c r="C48" s="1" t="s">
        <v>112</v>
      </c>
      <c r="D48">
        <v>0</v>
      </c>
      <c r="E48">
        <v>-1026</v>
      </c>
      <c r="F48">
        <v>27</v>
      </c>
      <c r="G48">
        <v>3370</v>
      </c>
      <c r="H48">
        <v>0</v>
      </c>
      <c r="I48">
        <v>1</v>
      </c>
      <c r="J48">
        <v>0</v>
      </c>
    </row>
    <row r="49" spans="1:10" x14ac:dyDescent="0.25">
      <c r="A49">
        <v>2020</v>
      </c>
      <c r="B49" s="1" t="s">
        <v>111</v>
      </c>
      <c r="C49" s="1" t="s">
        <v>113</v>
      </c>
      <c r="D49">
        <v>7</v>
      </c>
      <c r="E49">
        <v>7</v>
      </c>
      <c r="F49">
        <v>130</v>
      </c>
      <c r="G49">
        <v>1187</v>
      </c>
      <c r="H49">
        <v>1</v>
      </c>
      <c r="I49">
        <v>0</v>
      </c>
      <c r="J49">
        <v>0</v>
      </c>
    </row>
    <row r="50" spans="1:10" x14ac:dyDescent="0.25">
      <c r="A50">
        <v>2020</v>
      </c>
      <c r="B50" s="1" t="s">
        <v>114</v>
      </c>
      <c r="C50" s="1" t="s">
        <v>115</v>
      </c>
      <c r="D50">
        <v>30</v>
      </c>
      <c r="E50">
        <v>30</v>
      </c>
      <c r="F50">
        <v>0</v>
      </c>
      <c r="G50">
        <v>815</v>
      </c>
      <c r="H50">
        <v>0</v>
      </c>
      <c r="I50">
        <v>1</v>
      </c>
      <c r="J50">
        <v>0</v>
      </c>
    </row>
    <row r="51" spans="1:10" x14ac:dyDescent="0.25">
      <c r="A51">
        <v>2020</v>
      </c>
      <c r="B51" s="1" t="s">
        <v>116</v>
      </c>
      <c r="C51" s="1" t="s">
        <v>117</v>
      </c>
      <c r="D51">
        <v>28</v>
      </c>
      <c r="E51">
        <v>28</v>
      </c>
      <c r="F51">
        <v>56</v>
      </c>
      <c r="G51">
        <v>314</v>
      </c>
      <c r="H51">
        <v>0</v>
      </c>
      <c r="I51">
        <v>0</v>
      </c>
      <c r="J51">
        <v>1</v>
      </c>
    </row>
    <row r="52" spans="1:10" x14ac:dyDescent="0.25">
      <c r="A52">
        <v>2021</v>
      </c>
      <c r="B52" s="1" t="s">
        <v>108</v>
      </c>
      <c r="C52" s="1" t="s">
        <v>109</v>
      </c>
      <c r="D52">
        <v>661</v>
      </c>
      <c r="E52">
        <v>661</v>
      </c>
      <c r="F52">
        <v>483</v>
      </c>
      <c r="G52">
        <v>5776</v>
      </c>
      <c r="H52">
        <v>0</v>
      </c>
      <c r="I52">
        <v>1</v>
      </c>
      <c r="J52">
        <v>0</v>
      </c>
    </row>
    <row r="53" spans="1:10" x14ac:dyDescent="0.25">
      <c r="A53">
        <v>2021</v>
      </c>
      <c r="B53" s="1" t="s">
        <v>108</v>
      </c>
      <c r="C53" s="1" t="s">
        <v>110</v>
      </c>
      <c r="D53">
        <v>196</v>
      </c>
      <c r="E53">
        <v>196</v>
      </c>
      <c r="F53">
        <v>128</v>
      </c>
      <c r="G53">
        <v>1097</v>
      </c>
      <c r="H53">
        <v>1</v>
      </c>
      <c r="I53">
        <v>0</v>
      </c>
      <c r="J53">
        <v>0</v>
      </c>
    </row>
    <row r="54" spans="1:10" x14ac:dyDescent="0.25">
      <c r="A54">
        <v>2021</v>
      </c>
      <c r="B54" s="1" t="s">
        <v>111</v>
      </c>
      <c r="C54" s="1" t="s">
        <v>112</v>
      </c>
      <c r="D54">
        <v>749</v>
      </c>
      <c r="E54">
        <v>749</v>
      </c>
      <c r="F54">
        <v>245</v>
      </c>
      <c r="G54">
        <v>3874</v>
      </c>
      <c r="H54">
        <v>0</v>
      </c>
      <c r="I54">
        <v>1</v>
      </c>
      <c r="J54">
        <v>0</v>
      </c>
    </row>
    <row r="55" spans="1:10" x14ac:dyDescent="0.25">
      <c r="A55">
        <v>2021</v>
      </c>
      <c r="B55" s="1" t="s">
        <v>111</v>
      </c>
      <c r="C55" s="1" t="s">
        <v>113</v>
      </c>
      <c r="D55">
        <v>86</v>
      </c>
      <c r="E55">
        <v>86</v>
      </c>
      <c r="F55">
        <v>95</v>
      </c>
      <c r="G55">
        <v>1178</v>
      </c>
      <c r="H55">
        <v>1</v>
      </c>
      <c r="I55">
        <v>0</v>
      </c>
      <c r="J55">
        <v>0</v>
      </c>
    </row>
    <row r="56" spans="1:10" x14ac:dyDescent="0.25">
      <c r="A56">
        <v>2021</v>
      </c>
      <c r="B56" s="1" t="s">
        <v>114</v>
      </c>
      <c r="C56" s="1" t="s">
        <v>115</v>
      </c>
      <c r="D56">
        <v>65</v>
      </c>
      <c r="E56">
        <v>65</v>
      </c>
      <c r="F56">
        <v>0</v>
      </c>
      <c r="G56">
        <v>897</v>
      </c>
      <c r="H56">
        <v>0</v>
      </c>
      <c r="I56">
        <v>1</v>
      </c>
      <c r="J56">
        <v>0</v>
      </c>
    </row>
    <row r="57" spans="1:10" x14ac:dyDescent="0.25">
      <c r="A57">
        <v>2021</v>
      </c>
      <c r="B57" s="1" t="s">
        <v>116</v>
      </c>
      <c r="C57" s="1" t="s">
        <v>117</v>
      </c>
      <c r="D57">
        <v>37</v>
      </c>
      <c r="E57">
        <v>37</v>
      </c>
      <c r="F57">
        <v>56</v>
      </c>
      <c r="G57">
        <v>320</v>
      </c>
      <c r="H57">
        <v>0</v>
      </c>
      <c r="I57">
        <v>0</v>
      </c>
      <c r="J57">
        <v>1</v>
      </c>
    </row>
    <row r="58" spans="1:10" x14ac:dyDescent="0.25">
      <c r="A58">
        <v>2022</v>
      </c>
      <c r="B58" s="1" t="s">
        <v>108</v>
      </c>
      <c r="C58" s="1" t="s">
        <v>109</v>
      </c>
      <c r="D58">
        <v>994</v>
      </c>
      <c r="E58">
        <v>994</v>
      </c>
      <c r="F58">
        <v>516</v>
      </c>
      <c r="G58">
        <v>6254</v>
      </c>
      <c r="H58">
        <v>0</v>
      </c>
      <c r="I58">
        <v>1</v>
      </c>
      <c r="J58">
        <v>0</v>
      </c>
    </row>
    <row r="59" spans="1:10" x14ac:dyDescent="0.25">
      <c r="A59">
        <v>2022</v>
      </c>
      <c r="B59" s="1" t="s">
        <v>108</v>
      </c>
      <c r="C59" s="1" t="s">
        <v>110</v>
      </c>
      <c r="D59">
        <v>178</v>
      </c>
      <c r="E59">
        <v>178</v>
      </c>
      <c r="F59">
        <v>145</v>
      </c>
      <c r="G59">
        <v>1130</v>
      </c>
      <c r="H59">
        <v>1</v>
      </c>
      <c r="I59">
        <v>0</v>
      </c>
      <c r="J59">
        <v>0</v>
      </c>
    </row>
    <row r="60" spans="1:10" x14ac:dyDescent="0.25">
      <c r="A60">
        <v>2022</v>
      </c>
      <c r="B60" s="1" t="s">
        <v>111</v>
      </c>
      <c r="C60" s="1" t="s">
        <v>112</v>
      </c>
      <c r="D60">
        <v>808</v>
      </c>
      <c r="E60">
        <v>808</v>
      </c>
      <c r="F60">
        <v>387</v>
      </c>
      <c r="G60">
        <v>4295</v>
      </c>
      <c r="H60">
        <v>0</v>
      </c>
      <c r="I60">
        <v>1</v>
      </c>
      <c r="J60">
        <v>0</v>
      </c>
    </row>
    <row r="61" spans="1:10" x14ac:dyDescent="0.25">
      <c r="A61">
        <v>2022</v>
      </c>
      <c r="B61" s="1" t="s">
        <v>111</v>
      </c>
      <c r="C61" s="1" t="s">
        <v>113</v>
      </c>
      <c r="D61">
        <v>127</v>
      </c>
      <c r="E61">
        <v>127</v>
      </c>
      <c r="F61">
        <v>93</v>
      </c>
      <c r="G61">
        <v>1212</v>
      </c>
      <c r="H61">
        <v>1</v>
      </c>
      <c r="I61">
        <v>0</v>
      </c>
      <c r="J61">
        <v>0</v>
      </c>
    </row>
    <row r="62" spans="1:10" x14ac:dyDescent="0.25">
      <c r="A62">
        <v>2022</v>
      </c>
      <c r="B62" s="1" t="s">
        <v>114</v>
      </c>
      <c r="C62" s="1" t="s">
        <v>115</v>
      </c>
      <c r="D62">
        <v>100</v>
      </c>
      <c r="E62">
        <v>100</v>
      </c>
      <c r="F62">
        <v>0</v>
      </c>
      <c r="G62">
        <v>980</v>
      </c>
      <c r="H62">
        <v>0</v>
      </c>
      <c r="I62">
        <v>1</v>
      </c>
      <c r="J62">
        <v>0</v>
      </c>
    </row>
    <row r="63" spans="1:10" x14ac:dyDescent="0.25">
      <c r="A63">
        <v>2022</v>
      </c>
      <c r="B63" s="1" t="s">
        <v>116</v>
      </c>
      <c r="C63" s="1" t="s">
        <v>117</v>
      </c>
      <c r="D63">
        <v>47</v>
      </c>
      <c r="E63">
        <v>47</v>
      </c>
      <c r="F63">
        <v>57</v>
      </c>
      <c r="G63">
        <v>327</v>
      </c>
      <c r="H63">
        <v>0</v>
      </c>
      <c r="I63">
        <v>0</v>
      </c>
      <c r="J63">
        <v>1</v>
      </c>
    </row>
    <row r="64" spans="1:10" x14ac:dyDescent="0.25">
      <c r="A64">
        <v>2023</v>
      </c>
      <c r="B64" s="1" t="s">
        <v>108</v>
      </c>
      <c r="C64" s="1" t="s">
        <v>109</v>
      </c>
      <c r="D64">
        <v>1835</v>
      </c>
      <c r="E64">
        <v>1835</v>
      </c>
      <c r="F64">
        <v>571</v>
      </c>
      <c r="G64">
        <v>7517</v>
      </c>
      <c r="H64">
        <v>0</v>
      </c>
      <c r="I64">
        <v>1</v>
      </c>
      <c r="J64">
        <v>0</v>
      </c>
    </row>
    <row r="65" spans="1:10" x14ac:dyDescent="0.25">
      <c r="A65">
        <v>2023</v>
      </c>
      <c r="B65" s="1" t="s">
        <v>108</v>
      </c>
      <c r="C65" s="1" t="s">
        <v>110</v>
      </c>
      <c r="D65">
        <v>245</v>
      </c>
      <c r="E65">
        <v>245</v>
      </c>
      <c r="F65">
        <v>164</v>
      </c>
      <c r="G65">
        <v>1211</v>
      </c>
      <c r="H65">
        <v>1</v>
      </c>
      <c r="I65">
        <v>0</v>
      </c>
      <c r="J65">
        <v>0</v>
      </c>
    </row>
    <row r="66" spans="1:10" x14ac:dyDescent="0.25">
      <c r="A66">
        <v>2023</v>
      </c>
      <c r="B66" s="1" t="s">
        <v>111</v>
      </c>
      <c r="C66" s="1" t="s">
        <v>112</v>
      </c>
      <c r="D66">
        <v>1314</v>
      </c>
      <c r="E66">
        <v>1314</v>
      </c>
      <c r="F66">
        <v>396</v>
      </c>
      <c r="G66">
        <v>5213</v>
      </c>
      <c r="H66">
        <v>0</v>
      </c>
      <c r="I66">
        <v>1</v>
      </c>
      <c r="J66">
        <v>0</v>
      </c>
    </row>
    <row r="67" spans="1:10" x14ac:dyDescent="0.25">
      <c r="A67">
        <v>2023</v>
      </c>
      <c r="B67" s="1" t="s">
        <v>111</v>
      </c>
      <c r="C67" s="1" t="s">
        <v>113</v>
      </c>
      <c r="D67">
        <v>162</v>
      </c>
      <c r="E67">
        <v>162</v>
      </c>
      <c r="F67">
        <v>132</v>
      </c>
      <c r="G67">
        <v>1242</v>
      </c>
      <c r="H67">
        <v>1</v>
      </c>
      <c r="I67">
        <v>0</v>
      </c>
      <c r="J67">
        <v>0</v>
      </c>
    </row>
    <row r="68" spans="1:10" x14ac:dyDescent="0.25">
      <c r="A68">
        <v>2023</v>
      </c>
      <c r="B68" s="1" t="s">
        <v>114</v>
      </c>
      <c r="C68" s="1" t="s">
        <v>115</v>
      </c>
      <c r="D68">
        <v>250</v>
      </c>
      <c r="E68">
        <v>250</v>
      </c>
      <c r="F68">
        <v>4</v>
      </c>
      <c r="G68">
        <v>1230</v>
      </c>
      <c r="H68">
        <v>0</v>
      </c>
      <c r="I68">
        <v>1</v>
      </c>
      <c r="J68">
        <v>0</v>
      </c>
    </row>
    <row r="69" spans="1:10" x14ac:dyDescent="0.25">
      <c r="A69">
        <v>2023</v>
      </c>
      <c r="B69" s="1" t="s">
        <v>116</v>
      </c>
      <c r="C69" s="1" t="s">
        <v>117</v>
      </c>
      <c r="D69">
        <v>108</v>
      </c>
      <c r="E69">
        <v>108</v>
      </c>
      <c r="F69">
        <v>65</v>
      </c>
      <c r="G69">
        <v>418</v>
      </c>
      <c r="H69">
        <v>0</v>
      </c>
      <c r="I69">
        <v>0</v>
      </c>
      <c r="J69">
        <v>1</v>
      </c>
    </row>
    <row r="70" spans="1:10" x14ac:dyDescent="0.25">
      <c r="A70">
        <v>2024</v>
      </c>
      <c r="B70" s="1" t="s">
        <v>108</v>
      </c>
      <c r="C70" s="1" t="s">
        <v>109</v>
      </c>
      <c r="D70">
        <v>1456</v>
      </c>
      <c r="E70">
        <v>1456</v>
      </c>
      <c r="F70">
        <v>602</v>
      </c>
      <c r="G70">
        <v>8371</v>
      </c>
      <c r="H70">
        <v>0</v>
      </c>
      <c r="I70">
        <v>1</v>
      </c>
      <c r="J70">
        <v>0</v>
      </c>
    </row>
    <row r="71" spans="1:10" x14ac:dyDescent="0.25">
      <c r="A71">
        <v>2024</v>
      </c>
      <c r="B71" s="1" t="s">
        <v>108</v>
      </c>
      <c r="C71" s="1" t="s">
        <v>110</v>
      </c>
      <c r="D71">
        <v>312</v>
      </c>
      <c r="E71">
        <v>312</v>
      </c>
      <c r="F71">
        <v>164</v>
      </c>
      <c r="G71">
        <v>1359</v>
      </c>
      <c r="H71">
        <v>1</v>
      </c>
      <c r="I71">
        <v>0</v>
      </c>
      <c r="J71">
        <v>0</v>
      </c>
    </row>
    <row r="72" spans="1:10" x14ac:dyDescent="0.25">
      <c r="A72">
        <v>2024</v>
      </c>
      <c r="B72" s="1" t="s">
        <v>111</v>
      </c>
      <c r="C72" s="1" t="s">
        <v>112</v>
      </c>
      <c r="D72">
        <v>569</v>
      </c>
      <c r="E72">
        <v>569</v>
      </c>
      <c r="F72">
        <v>260</v>
      </c>
      <c r="G72">
        <v>5522</v>
      </c>
      <c r="H72">
        <v>0</v>
      </c>
      <c r="I72">
        <v>1</v>
      </c>
      <c r="J72">
        <v>0</v>
      </c>
    </row>
    <row r="73" spans="1:10" x14ac:dyDescent="0.25">
      <c r="A73">
        <v>2024</v>
      </c>
      <c r="B73" s="1" t="s">
        <v>111</v>
      </c>
      <c r="C73" s="1" t="s">
        <v>113</v>
      </c>
      <c r="D73">
        <v>200</v>
      </c>
      <c r="E73">
        <v>200</v>
      </c>
      <c r="F73">
        <v>88</v>
      </c>
      <c r="G73">
        <v>1354</v>
      </c>
      <c r="H73">
        <v>1</v>
      </c>
      <c r="I73">
        <v>0</v>
      </c>
      <c r="J73">
        <v>0</v>
      </c>
    </row>
    <row r="74" spans="1:10" x14ac:dyDescent="0.25">
      <c r="A74">
        <v>2024</v>
      </c>
      <c r="B74" s="1" t="s">
        <v>114</v>
      </c>
      <c r="C74" s="1" t="s">
        <v>115</v>
      </c>
      <c r="D74">
        <v>220</v>
      </c>
      <c r="E74">
        <v>220</v>
      </c>
      <c r="F74">
        <v>13</v>
      </c>
      <c r="G74">
        <v>1437</v>
      </c>
      <c r="H74">
        <v>0</v>
      </c>
      <c r="I74">
        <v>1</v>
      </c>
      <c r="J74">
        <v>0</v>
      </c>
    </row>
    <row r="75" spans="1:10" x14ac:dyDescent="0.25">
      <c r="A75">
        <v>2024</v>
      </c>
      <c r="B75" s="1" t="s">
        <v>116</v>
      </c>
      <c r="C75" s="1" t="s">
        <v>117</v>
      </c>
      <c r="D75">
        <v>169</v>
      </c>
      <c r="E75">
        <v>169</v>
      </c>
      <c r="F75">
        <v>73</v>
      </c>
      <c r="G75">
        <v>510</v>
      </c>
      <c r="H75">
        <v>0</v>
      </c>
      <c r="I75">
        <v>0</v>
      </c>
      <c r="J75">
        <v>1</v>
      </c>
    </row>
    <row r="76" spans="1:10" x14ac:dyDescent="0.25">
      <c r="A76">
        <v>2025</v>
      </c>
      <c r="B76" s="1" t="s">
        <v>108</v>
      </c>
      <c r="C76" s="1" t="s">
        <v>109</v>
      </c>
      <c r="D76">
        <v>1200</v>
      </c>
      <c r="E76">
        <v>1200</v>
      </c>
      <c r="F76">
        <v>690</v>
      </c>
      <c r="G76">
        <v>8881</v>
      </c>
      <c r="H76">
        <v>0</v>
      </c>
      <c r="I76">
        <v>1</v>
      </c>
      <c r="J76">
        <v>0</v>
      </c>
    </row>
    <row r="77" spans="1:10" x14ac:dyDescent="0.25">
      <c r="A77">
        <v>2025</v>
      </c>
      <c r="B77" s="1" t="s">
        <v>108</v>
      </c>
      <c r="C77" s="1" t="s">
        <v>110</v>
      </c>
      <c r="D77">
        <v>240</v>
      </c>
      <c r="E77">
        <v>240</v>
      </c>
      <c r="F77">
        <v>175</v>
      </c>
      <c r="G77">
        <v>1424</v>
      </c>
      <c r="H77">
        <v>1</v>
      </c>
      <c r="I77">
        <v>0</v>
      </c>
      <c r="J77">
        <v>0</v>
      </c>
    </row>
    <row r="78" spans="1:10" x14ac:dyDescent="0.25">
      <c r="A78">
        <v>2025</v>
      </c>
      <c r="B78" s="1" t="s">
        <v>111</v>
      </c>
      <c r="C78" s="1" t="s">
        <v>112</v>
      </c>
      <c r="D78">
        <v>720</v>
      </c>
      <c r="E78">
        <v>720</v>
      </c>
      <c r="F78">
        <v>380</v>
      </c>
      <c r="G78">
        <v>5862</v>
      </c>
      <c r="H78">
        <v>0</v>
      </c>
      <c r="I78">
        <v>1</v>
      </c>
      <c r="J78">
        <v>0</v>
      </c>
    </row>
    <row r="79" spans="1:10" x14ac:dyDescent="0.25">
      <c r="A79">
        <v>2025</v>
      </c>
      <c r="B79" s="1" t="s">
        <v>111</v>
      </c>
      <c r="C79" s="1" t="s">
        <v>113</v>
      </c>
      <c r="D79">
        <v>175</v>
      </c>
      <c r="E79">
        <v>175</v>
      </c>
      <c r="F79">
        <v>115</v>
      </c>
      <c r="G79">
        <v>1414</v>
      </c>
      <c r="H79">
        <v>1</v>
      </c>
      <c r="I79">
        <v>0</v>
      </c>
      <c r="J79">
        <v>0</v>
      </c>
    </row>
    <row r="80" spans="1:10" x14ac:dyDescent="0.25">
      <c r="A80">
        <v>2025</v>
      </c>
      <c r="B80" s="1" t="s">
        <v>114</v>
      </c>
      <c r="C80" s="1" t="s">
        <v>115</v>
      </c>
      <c r="D80">
        <v>200</v>
      </c>
      <c r="E80">
        <v>200</v>
      </c>
      <c r="F80">
        <v>25</v>
      </c>
      <c r="G80">
        <v>1612</v>
      </c>
      <c r="H80">
        <v>0</v>
      </c>
      <c r="I80">
        <v>1</v>
      </c>
      <c r="J80">
        <v>0</v>
      </c>
    </row>
    <row r="81" spans="1:10" x14ac:dyDescent="0.25">
      <c r="A81">
        <v>2025</v>
      </c>
      <c r="B81" s="1" t="s">
        <v>116</v>
      </c>
      <c r="C81" s="1" t="s">
        <v>117</v>
      </c>
      <c r="D81">
        <v>119</v>
      </c>
      <c r="E81">
        <v>119</v>
      </c>
      <c r="F81">
        <v>54</v>
      </c>
      <c r="G81">
        <v>527</v>
      </c>
      <c r="H81">
        <v>0</v>
      </c>
      <c r="I81">
        <v>0</v>
      </c>
      <c r="J81">
        <v>1</v>
      </c>
    </row>
    <row r="82" spans="1:10" x14ac:dyDescent="0.25">
      <c r="A82">
        <v>2026</v>
      </c>
      <c r="B82" s="1" t="s">
        <v>108</v>
      </c>
      <c r="C82" s="1" t="s">
        <v>109</v>
      </c>
      <c r="D82">
        <v>450</v>
      </c>
      <c r="E82">
        <v>450</v>
      </c>
      <c r="F82">
        <v>260</v>
      </c>
      <c r="G82">
        <v>9071</v>
      </c>
      <c r="H82">
        <v>0</v>
      </c>
      <c r="I82">
        <v>1</v>
      </c>
      <c r="J82">
        <v>0</v>
      </c>
    </row>
    <row r="83" spans="1:10" x14ac:dyDescent="0.25">
      <c r="A83">
        <v>2026</v>
      </c>
      <c r="B83" s="1" t="s">
        <v>108</v>
      </c>
      <c r="C83" s="1" t="s">
        <v>110</v>
      </c>
      <c r="D83">
        <v>90</v>
      </c>
      <c r="E83">
        <v>90</v>
      </c>
      <c r="F83">
        <v>65</v>
      </c>
      <c r="G83">
        <v>1449</v>
      </c>
      <c r="H83">
        <v>1</v>
      </c>
      <c r="I83">
        <v>0</v>
      </c>
      <c r="J83">
        <v>0</v>
      </c>
    </row>
    <row r="84" spans="1:10" x14ac:dyDescent="0.25">
      <c r="A84">
        <v>2026</v>
      </c>
      <c r="B84" s="1" t="s">
        <v>111</v>
      </c>
      <c r="C84" s="1" t="s">
        <v>112</v>
      </c>
      <c r="D84">
        <v>280</v>
      </c>
      <c r="E84">
        <v>280</v>
      </c>
      <c r="F84">
        <v>160</v>
      </c>
      <c r="G84">
        <v>5982</v>
      </c>
      <c r="H84">
        <v>0</v>
      </c>
      <c r="I84">
        <v>1</v>
      </c>
      <c r="J84">
        <v>0</v>
      </c>
    </row>
    <row r="85" spans="1:10" x14ac:dyDescent="0.25">
      <c r="A85">
        <v>2026</v>
      </c>
      <c r="B85" s="1" t="s">
        <v>111</v>
      </c>
      <c r="C85" s="1" t="s">
        <v>113</v>
      </c>
      <c r="D85">
        <v>60</v>
      </c>
      <c r="E85">
        <v>60</v>
      </c>
      <c r="F85">
        <v>40</v>
      </c>
      <c r="G85">
        <v>1434</v>
      </c>
      <c r="H85">
        <v>1</v>
      </c>
      <c r="I85">
        <v>0</v>
      </c>
      <c r="J85">
        <v>0</v>
      </c>
    </row>
    <row r="86" spans="1:10" x14ac:dyDescent="0.25">
      <c r="A86">
        <v>2026</v>
      </c>
      <c r="B86" s="1" t="s">
        <v>114</v>
      </c>
      <c r="C86" s="1" t="s">
        <v>115</v>
      </c>
      <c r="D86">
        <v>90</v>
      </c>
      <c r="E86">
        <v>90</v>
      </c>
      <c r="F86">
        <v>12</v>
      </c>
      <c r="G86">
        <v>1690</v>
      </c>
      <c r="H86">
        <v>0</v>
      </c>
      <c r="I86">
        <v>1</v>
      </c>
      <c r="J86">
        <v>0</v>
      </c>
    </row>
    <row r="87" spans="1:10" x14ac:dyDescent="0.25">
      <c r="A87">
        <v>2026</v>
      </c>
      <c r="B87" s="1" t="s">
        <v>116</v>
      </c>
      <c r="C87" s="1" t="s">
        <v>117</v>
      </c>
      <c r="D87">
        <v>70</v>
      </c>
      <c r="E87">
        <v>70</v>
      </c>
      <c r="F87">
        <v>35</v>
      </c>
      <c r="G87">
        <v>545</v>
      </c>
      <c r="H87">
        <v>0</v>
      </c>
      <c r="I87">
        <v>0</v>
      </c>
      <c r="J87">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8E774-3BAE-4E82-A618-D0BCC52DB912}">
  <sheetPr>
    <tabColor theme="9" tint="-0.249977111117893"/>
  </sheetPr>
  <dimension ref="A1:G1177"/>
  <sheetViews>
    <sheetView workbookViewId="0">
      <selection sqref="A1:G1177"/>
    </sheetView>
  </sheetViews>
  <sheetFormatPr defaultRowHeight="15" x14ac:dyDescent="0.25"/>
  <cols>
    <col min="1" max="1" width="13.85546875" bestFit="1" customWidth="1"/>
    <col min="2" max="2" width="7.140625" bestFit="1" customWidth="1"/>
    <col min="4" max="4" width="13.85546875" bestFit="1" customWidth="1"/>
    <col min="5" max="5" width="13.7109375" bestFit="1" customWidth="1"/>
    <col min="6" max="6" width="13.85546875" bestFit="1" customWidth="1"/>
    <col min="7" max="7" width="17.140625" bestFit="1" customWidth="1"/>
  </cols>
  <sheetData>
    <row r="1" spans="1:7" x14ac:dyDescent="0.25">
      <c r="A1" t="s">
        <v>118</v>
      </c>
      <c r="B1" t="s">
        <v>0</v>
      </c>
      <c r="C1" t="s">
        <v>119</v>
      </c>
      <c r="D1" t="s">
        <v>4</v>
      </c>
      <c r="E1" t="s">
        <v>120</v>
      </c>
      <c r="F1" t="s">
        <v>121</v>
      </c>
      <c r="G1" t="s">
        <v>10</v>
      </c>
    </row>
    <row r="2" spans="1:7" x14ac:dyDescent="0.25">
      <c r="A2" s="2">
        <v>40179</v>
      </c>
      <c r="B2">
        <v>2010</v>
      </c>
      <c r="C2">
        <v>1</v>
      </c>
      <c r="D2" s="1" t="s">
        <v>15</v>
      </c>
      <c r="E2">
        <v>61.73</v>
      </c>
      <c r="F2">
        <v>76.45</v>
      </c>
      <c r="G2">
        <v>80.8</v>
      </c>
    </row>
    <row r="3" spans="1:7" x14ac:dyDescent="0.25">
      <c r="A3" s="2">
        <v>40210</v>
      </c>
      <c r="B3">
        <v>2010</v>
      </c>
      <c r="C3">
        <v>2</v>
      </c>
      <c r="D3" s="1" t="s">
        <v>15</v>
      </c>
      <c r="E3">
        <v>58.63</v>
      </c>
      <c r="F3">
        <v>72.13</v>
      </c>
      <c r="G3">
        <v>81.3</v>
      </c>
    </row>
    <row r="4" spans="1:7" x14ac:dyDescent="0.25">
      <c r="A4" s="2">
        <v>40238</v>
      </c>
      <c r="B4">
        <v>2010</v>
      </c>
      <c r="C4">
        <v>3</v>
      </c>
      <c r="D4" s="1" t="s">
        <v>15</v>
      </c>
      <c r="E4">
        <v>60.16</v>
      </c>
      <c r="F4">
        <v>72.790000000000006</v>
      </c>
      <c r="G4">
        <v>82.6</v>
      </c>
    </row>
    <row r="5" spans="1:7" x14ac:dyDescent="0.25">
      <c r="A5" s="2">
        <v>40269</v>
      </c>
      <c r="B5">
        <v>2010</v>
      </c>
      <c r="C5">
        <v>4</v>
      </c>
      <c r="D5" s="1" t="s">
        <v>15</v>
      </c>
      <c r="E5">
        <v>64.069999999999993</v>
      </c>
      <c r="F5">
        <v>76.8</v>
      </c>
      <c r="G5">
        <v>83.4</v>
      </c>
    </row>
    <row r="6" spans="1:7" x14ac:dyDescent="0.25">
      <c r="A6" s="2">
        <v>40299</v>
      </c>
      <c r="B6">
        <v>2010</v>
      </c>
      <c r="C6">
        <v>5</v>
      </c>
      <c r="D6" s="1" t="s">
        <v>15</v>
      </c>
      <c r="E6">
        <v>69.430000000000007</v>
      </c>
      <c r="F6">
        <v>85.85</v>
      </c>
      <c r="G6">
        <v>80.900000000000006</v>
      </c>
    </row>
    <row r="7" spans="1:7" x14ac:dyDescent="0.25">
      <c r="A7" s="2">
        <v>40330</v>
      </c>
      <c r="B7">
        <v>2010</v>
      </c>
      <c r="C7">
        <v>6</v>
      </c>
      <c r="D7" s="1" t="s">
        <v>15</v>
      </c>
      <c r="E7">
        <v>76.14</v>
      </c>
      <c r="F7">
        <v>89.95</v>
      </c>
      <c r="G7">
        <v>84.7</v>
      </c>
    </row>
    <row r="8" spans="1:7" x14ac:dyDescent="0.25">
      <c r="A8" s="2">
        <v>40360</v>
      </c>
      <c r="B8">
        <v>2010</v>
      </c>
      <c r="C8">
        <v>7</v>
      </c>
      <c r="D8" s="1" t="s">
        <v>15</v>
      </c>
      <c r="E8">
        <v>82.62</v>
      </c>
      <c r="F8">
        <v>101.28</v>
      </c>
      <c r="G8">
        <v>81.599999999999994</v>
      </c>
    </row>
    <row r="9" spans="1:7" x14ac:dyDescent="0.25">
      <c r="A9" s="2">
        <v>40391</v>
      </c>
      <c r="B9">
        <v>2010</v>
      </c>
      <c r="C9">
        <v>8</v>
      </c>
      <c r="D9" s="1" t="s">
        <v>15</v>
      </c>
      <c r="E9">
        <v>84.79</v>
      </c>
      <c r="F9">
        <v>109</v>
      </c>
      <c r="G9">
        <v>77.8</v>
      </c>
    </row>
    <row r="10" spans="1:7" x14ac:dyDescent="0.25">
      <c r="A10" s="2">
        <v>40422</v>
      </c>
      <c r="B10">
        <v>2010</v>
      </c>
      <c r="C10">
        <v>9</v>
      </c>
      <c r="D10" s="1" t="s">
        <v>15</v>
      </c>
      <c r="E10">
        <v>82.23</v>
      </c>
      <c r="F10">
        <v>95.62</v>
      </c>
      <c r="G10">
        <v>86</v>
      </c>
    </row>
    <row r="11" spans="1:7" x14ac:dyDescent="0.25">
      <c r="A11" s="2">
        <v>40452</v>
      </c>
      <c r="B11">
        <v>2010</v>
      </c>
      <c r="C11">
        <v>10</v>
      </c>
      <c r="D11" s="1" t="s">
        <v>15</v>
      </c>
      <c r="E11">
        <v>78.900000000000006</v>
      </c>
      <c r="F11">
        <v>96.05</v>
      </c>
      <c r="G11">
        <v>82.1</v>
      </c>
    </row>
    <row r="12" spans="1:7" x14ac:dyDescent="0.25">
      <c r="A12" s="2">
        <v>40483</v>
      </c>
      <c r="B12">
        <v>2010</v>
      </c>
      <c r="C12">
        <v>11</v>
      </c>
      <c r="D12" s="1" t="s">
        <v>15</v>
      </c>
      <c r="E12">
        <v>74.55</v>
      </c>
      <c r="F12">
        <v>88.97</v>
      </c>
      <c r="G12">
        <v>83.8</v>
      </c>
    </row>
    <row r="13" spans="1:7" x14ac:dyDescent="0.25">
      <c r="A13" s="2">
        <v>40513</v>
      </c>
      <c r="B13">
        <v>2010</v>
      </c>
      <c r="C13">
        <v>12</v>
      </c>
      <c r="D13" s="1" t="s">
        <v>15</v>
      </c>
      <c r="E13">
        <v>64.09</v>
      </c>
      <c r="F13">
        <v>81.5</v>
      </c>
      <c r="G13">
        <v>78.599999999999994</v>
      </c>
    </row>
    <row r="14" spans="1:7" x14ac:dyDescent="0.25">
      <c r="A14" s="2">
        <v>40544</v>
      </c>
      <c r="B14">
        <v>2011</v>
      </c>
      <c r="C14">
        <v>1</v>
      </c>
      <c r="D14" s="1" t="s">
        <v>15</v>
      </c>
      <c r="E14">
        <v>64.62</v>
      </c>
      <c r="F14">
        <v>80.2</v>
      </c>
      <c r="G14">
        <v>80.599999999999994</v>
      </c>
    </row>
    <row r="15" spans="1:7" x14ac:dyDescent="0.25">
      <c r="A15" s="2">
        <v>40575</v>
      </c>
      <c r="B15">
        <v>2011</v>
      </c>
      <c r="C15">
        <v>2</v>
      </c>
      <c r="D15" s="1" t="s">
        <v>15</v>
      </c>
      <c r="E15">
        <v>65.45</v>
      </c>
      <c r="F15">
        <v>80.44</v>
      </c>
      <c r="G15">
        <v>81.400000000000006</v>
      </c>
    </row>
    <row r="16" spans="1:7" x14ac:dyDescent="0.25">
      <c r="A16" s="2">
        <v>40603</v>
      </c>
      <c r="B16">
        <v>2011</v>
      </c>
      <c r="C16">
        <v>3</v>
      </c>
      <c r="D16" s="1" t="s">
        <v>15</v>
      </c>
      <c r="E16">
        <v>60.98</v>
      </c>
      <c r="F16">
        <v>76.73</v>
      </c>
      <c r="G16">
        <v>79.5</v>
      </c>
    </row>
    <row r="17" spans="1:7" x14ac:dyDescent="0.25">
      <c r="A17" s="2">
        <v>40634</v>
      </c>
      <c r="B17">
        <v>2011</v>
      </c>
      <c r="C17">
        <v>4</v>
      </c>
      <c r="D17" s="1" t="s">
        <v>15</v>
      </c>
      <c r="E17">
        <v>63.46</v>
      </c>
      <c r="F17">
        <v>77.83</v>
      </c>
      <c r="G17">
        <v>81.5</v>
      </c>
    </row>
    <row r="18" spans="1:7" x14ac:dyDescent="0.25">
      <c r="A18" s="2">
        <v>40664</v>
      </c>
      <c r="B18">
        <v>2011</v>
      </c>
      <c r="C18">
        <v>5</v>
      </c>
      <c r="D18" s="1" t="s">
        <v>15</v>
      </c>
      <c r="E18">
        <v>74.31</v>
      </c>
      <c r="F18">
        <v>91.57</v>
      </c>
      <c r="G18">
        <v>81.2</v>
      </c>
    </row>
    <row r="19" spans="1:7" x14ac:dyDescent="0.25">
      <c r="A19" s="2">
        <v>40695</v>
      </c>
      <c r="B19">
        <v>2011</v>
      </c>
      <c r="C19">
        <v>6</v>
      </c>
      <c r="D19" s="1" t="s">
        <v>15</v>
      </c>
      <c r="E19">
        <v>83.24</v>
      </c>
      <c r="F19">
        <v>98.63</v>
      </c>
      <c r="G19">
        <v>84.4</v>
      </c>
    </row>
    <row r="20" spans="1:7" x14ac:dyDescent="0.25">
      <c r="A20" s="2">
        <v>40725</v>
      </c>
      <c r="B20">
        <v>2011</v>
      </c>
      <c r="C20">
        <v>7</v>
      </c>
      <c r="D20" s="1" t="s">
        <v>15</v>
      </c>
      <c r="E20">
        <v>84.54</v>
      </c>
      <c r="F20">
        <v>108.75</v>
      </c>
      <c r="G20">
        <v>77.7</v>
      </c>
    </row>
    <row r="21" spans="1:7" x14ac:dyDescent="0.25">
      <c r="A21" s="2">
        <v>40756</v>
      </c>
      <c r="B21">
        <v>2011</v>
      </c>
      <c r="C21">
        <v>8</v>
      </c>
      <c r="D21" s="1" t="s">
        <v>15</v>
      </c>
      <c r="E21">
        <v>88.37</v>
      </c>
      <c r="F21">
        <v>106.33</v>
      </c>
      <c r="G21">
        <v>83.1</v>
      </c>
    </row>
    <row r="22" spans="1:7" x14ac:dyDescent="0.25">
      <c r="A22" s="2">
        <v>40787</v>
      </c>
      <c r="B22">
        <v>2011</v>
      </c>
      <c r="C22">
        <v>9</v>
      </c>
      <c r="D22" s="1" t="s">
        <v>15</v>
      </c>
      <c r="E22">
        <v>86.29</v>
      </c>
      <c r="F22">
        <v>102.78</v>
      </c>
      <c r="G22">
        <v>84</v>
      </c>
    </row>
    <row r="23" spans="1:7" x14ac:dyDescent="0.25">
      <c r="A23" s="2">
        <v>40817</v>
      </c>
      <c r="B23">
        <v>2011</v>
      </c>
      <c r="C23">
        <v>10</v>
      </c>
      <c r="D23" s="1" t="s">
        <v>15</v>
      </c>
      <c r="E23">
        <v>78.790000000000006</v>
      </c>
      <c r="F23">
        <v>91.6</v>
      </c>
      <c r="G23">
        <v>86</v>
      </c>
    </row>
    <row r="24" spans="1:7" x14ac:dyDescent="0.25">
      <c r="A24" s="2">
        <v>40848</v>
      </c>
      <c r="B24">
        <v>2011</v>
      </c>
      <c r="C24">
        <v>11</v>
      </c>
      <c r="D24" s="1" t="s">
        <v>15</v>
      </c>
      <c r="E24">
        <v>73.97</v>
      </c>
      <c r="F24">
        <v>88.59</v>
      </c>
      <c r="G24">
        <v>83.5</v>
      </c>
    </row>
    <row r="25" spans="1:7" x14ac:dyDescent="0.25">
      <c r="A25" s="2">
        <v>40878</v>
      </c>
      <c r="B25">
        <v>2011</v>
      </c>
      <c r="C25">
        <v>12</v>
      </c>
      <c r="D25" s="1" t="s">
        <v>15</v>
      </c>
      <c r="E25">
        <v>67.150000000000006</v>
      </c>
      <c r="F25">
        <v>83.79</v>
      </c>
      <c r="G25">
        <v>80.099999999999994</v>
      </c>
    </row>
    <row r="26" spans="1:7" x14ac:dyDescent="0.25">
      <c r="A26" s="2">
        <v>40909</v>
      </c>
      <c r="B26">
        <v>2012</v>
      </c>
      <c r="C26">
        <v>1</v>
      </c>
      <c r="D26" s="1" t="s">
        <v>15</v>
      </c>
      <c r="E26">
        <v>69.75</v>
      </c>
      <c r="F26">
        <v>85.61</v>
      </c>
      <c r="G26">
        <v>81.5</v>
      </c>
    </row>
    <row r="27" spans="1:7" x14ac:dyDescent="0.25">
      <c r="A27" s="2">
        <v>40940</v>
      </c>
      <c r="B27">
        <v>2012</v>
      </c>
      <c r="C27">
        <v>2</v>
      </c>
      <c r="D27" s="1" t="s">
        <v>15</v>
      </c>
      <c r="E27">
        <v>66.97</v>
      </c>
      <c r="F27">
        <v>81.209999999999994</v>
      </c>
      <c r="G27">
        <v>82.5</v>
      </c>
    </row>
    <row r="28" spans="1:7" x14ac:dyDescent="0.25">
      <c r="A28" s="2">
        <v>40969</v>
      </c>
      <c r="B28">
        <v>2012</v>
      </c>
      <c r="C28">
        <v>3</v>
      </c>
      <c r="D28" s="1" t="s">
        <v>15</v>
      </c>
      <c r="E28">
        <v>66.84</v>
      </c>
      <c r="F28">
        <v>78.89</v>
      </c>
      <c r="G28">
        <v>84.7</v>
      </c>
    </row>
    <row r="29" spans="1:7" x14ac:dyDescent="0.25">
      <c r="A29" s="2">
        <v>41000</v>
      </c>
      <c r="B29">
        <v>2012</v>
      </c>
      <c r="C29">
        <v>4</v>
      </c>
      <c r="D29" s="1" t="s">
        <v>15</v>
      </c>
      <c r="E29">
        <v>71</v>
      </c>
      <c r="F29">
        <v>90.51</v>
      </c>
      <c r="G29">
        <v>78.400000000000006</v>
      </c>
    </row>
    <row r="30" spans="1:7" x14ac:dyDescent="0.25">
      <c r="A30" s="2">
        <v>41030</v>
      </c>
      <c r="B30">
        <v>2012</v>
      </c>
      <c r="C30">
        <v>5</v>
      </c>
      <c r="D30" s="1" t="s">
        <v>15</v>
      </c>
      <c r="E30">
        <v>75.69</v>
      </c>
      <c r="F30">
        <v>91.08</v>
      </c>
      <c r="G30">
        <v>83.1</v>
      </c>
    </row>
    <row r="31" spans="1:7" x14ac:dyDescent="0.25">
      <c r="A31" s="2">
        <v>41061</v>
      </c>
      <c r="B31">
        <v>2012</v>
      </c>
      <c r="C31">
        <v>6</v>
      </c>
      <c r="D31" s="1" t="s">
        <v>15</v>
      </c>
      <c r="E31">
        <v>84.6</v>
      </c>
      <c r="F31">
        <v>107.27</v>
      </c>
      <c r="G31">
        <v>78.900000000000006</v>
      </c>
    </row>
    <row r="32" spans="1:7" x14ac:dyDescent="0.25">
      <c r="A32" s="2">
        <v>41091</v>
      </c>
      <c r="B32">
        <v>2012</v>
      </c>
      <c r="C32">
        <v>7</v>
      </c>
      <c r="D32" s="1" t="s">
        <v>15</v>
      </c>
      <c r="E32">
        <v>86.24</v>
      </c>
      <c r="F32">
        <v>106.68</v>
      </c>
      <c r="G32">
        <v>80.8</v>
      </c>
    </row>
    <row r="33" spans="1:7" x14ac:dyDescent="0.25">
      <c r="A33" s="2">
        <v>41122</v>
      </c>
      <c r="B33">
        <v>2012</v>
      </c>
      <c r="C33">
        <v>8</v>
      </c>
      <c r="D33" s="1" t="s">
        <v>15</v>
      </c>
      <c r="E33">
        <v>88.99</v>
      </c>
      <c r="F33">
        <v>112.29</v>
      </c>
      <c r="G33">
        <v>79.2</v>
      </c>
    </row>
    <row r="34" spans="1:7" x14ac:dyDescent="0.25">
      <c r="A34" s="2">
        <v>41153</v>
      </c>
      <c r="B34">
        <v>2012</v>
      </c>
      <c r="C34">
        <v>9</v>
      </c>
      <c r="D34" s="1" t="s">
        <v>15</v>
      </c>
      <c r="E34">
        <v>87</v>
      </c>
      <c r="F34">
        <v>108.02</v>
      </c>
      <c r="G34">
        <v>80.5</v>
      </c>
    </row>
    <row r="35" spans="1:7" x14ac:dyDescent="0.25">
      <c r="A35" s="2">
        <v>41183</v>
      </c>
      <c r="B35">
        <v>2012</v>
      </c>
      <c r="C35">
        <v>10</v>
      </c>
      <c r="D35" s="1" t="s">
        <v>15</v>
      </c>
      <c r="E35">
        <v>86.58</v>
      </c>
      <c r="F35">
        <v>103.55</v>
      </c>
      <c r="G35">
        <v>83.6</v>
      </c>
    </row>
    <row r="36" spans="1:7" x14ac:dyDescent="0.25">
      <c r="A36" s="2">
        <v>41214</v>
      </c>
      <c r="B36">
        <v>2012</v>
      </c>
      <c r="C36">
        <v>11</v>
      </c>
      <c r="D36" s="1" t="s">
        <v>15</v>
      </c>
      <c r="E36">
        <v>78.59</v>
      </c>
      <c r="F36">
        <v>96.77</v>
      </c>
      <c r="G36">
        <v>81.2</v>
      </c>
    </row>
    <row r="37" spans="1:7" x14ac:dyDescent="0.25">
      <c r="A37" s="2">
        <v>41244</v>
      </c>
      <c r="B37">
        <v>2012</v>
      </c>
      <c r="C37">
        <v>12</v>
      </c>
      <c r="D37" s="1" t="s">
        <v>15</v>
      </c>
      <c r="E37">
        <v>73.540000000000006</v>
      </c>
      <c r="F37">
        <v>91.5</v>
      </c>
      <c r="G37">
        <v>80.400000000000006</v>
      </c>
    </row>
    <row r="38" spans="1:7" x14ac:dyDescent="0.25">
      <c r="A38" s="2">
        <v>41275</v>
      </c>
      <c r="B38">
        <v>2013</v>
      </c>
      <c r="C38">
        <v>1</v>
      </c>
      <c r="D38" s="1" t="s">
        <v>15</v>
      </c>
      <c r="E38">
        <v>66.75</v>
      </c>
      <c r="F38">
        <v>83.31</v>
      </c>
      <c r="G38">
        <v>80.099999999999994</v>
      </c>
    </row>
    <row r="39" spans="1:7" x14ac:dyDescent="0.25">
      <c r="A39" s="2">
        <v>41306</v>
      </c>
      <c r="B39">
        <v>2013</v>
      </c>
      <c r="C39">
        <v>2</v>
      </c>
      <c r="D39" s="1" t="s">
        <v>15</v>
      </c>
      <c r="E39">
        <v>66.41</v>
      </c>
      <c r="F39">
        <v>83.35</v>
      </c>
      <c r="G39">
        <v>79.7</v>
      </c>
    </row>
    <row r="40" spans="1:7" x14ac:dyDescent="0.25">
      <c r="A40" s="2">
        <v>41334</v>
      </c>
      <c r="B40">
        <v>2013</v>
      </c>
      <c r="C40">
        <v>3</v>
      </c>
      <c r="D40" s="1" t="s">
        <v>15</v>
      </c>
      <c r="E40">
        <v>69.83</v>
      </c>
      <c r="F40">
        <v>83.67</v>
      </c>
      <c r="G40">
        <v>83.5</v>
      </c>
    </row>
    <row r="41" spans="1:7" x14ac:dyDescent="0.25">
      <c r="A41" s="2">
        <v>41365</v>
      </c>
      <c r="B41">
        <v>2013</v>
      </c>
      <c r="C41">
        <v>4</v>
      </c>
      <c r="D41" s="1" t="s">
        <v>15</v>
      </c>
      <c r="E41">
        <v>70.650000000000006</v>
      </c>
      <c r="F41">
        <v>86.1</v>
      </c>
      <c r="G41">
        <v>82.1</v>
      </c>
    </row>
    <row r="42" spans="1:7" x14ac:dyDescent="0.25">
      <c r="A42" s="2">
        <v>41395</v>
      </c>
      <c r="B42">
        <v>2013</v>
      </c>
      <c r="C42">
        <v>5</v>
      </c>
      <c r="D42" s="1" t="s">
        <v>15</v>
      </c>
      <c r="E42">
        <v>79.81</v>
      </c>
      <c r="F42">
        <v>96.52</v>
      </c>
      <c r="G42">
        <v>82.7</v>
      </c>
    </row>
    <row r="43" spans="1:7" x14ac:dyDescent="0.25">
      <c r="A43" s="2">
        <v>41426</v>
      </c>
      <c r="B43">
        <v>2013</v>
      </c>
      <c r="C43">
        <v>6</v>
      </c>
      <c r="D43" s="1" t="s">
        <v>15</v>
      </c>
      <c r="E43">
        <v>86.58</v>
      </c>
      <c r="F43">
        <v>109.46</v>
      </c>
      <c r="G43">
        <v>79.099999999999994</v>
      </c>
    </row>
    <row r="44" spans="1:7" x14ac:dyDescent="0.25">
      <c r="A44" s="2">
        <v>41456</v>
      </c>
      <c r="B44">
        <v>2013</v>
      </c>
      <c r="C44">
        <v>7</v>
      </c>
      <c r="D44" s="1" t="s">
        <v>15</v>
      </c>
      <c r="E44">
        <v>87.9</v>
      </c>
      <c r="F44">
        <v>107.12</v>
      </c>
      <c r="G44">
        <v>82.1</v>
      </c>
    </row>
    <row r="45" spans="1:7" x14ac:dyDescent="0.25">
      <c r="A45" s="2">
        <v>41487</v>
      </c>
      <c r="B45">
        <v>2013</v>
      </c>
      <c r="C45">
        <v>8</v>
      </c>
      <c r="D45" s="1" t="s">
        <v>15</v>
      </c>
      <c r="E45">
        <v>96.11</v>
      </c>
      <c r="F45">
        <v>123.9</v>
      </c>
      <c r="G45">
        <v>77.599999999999994</v>
      </c>
    </row>
    <row r="46" spans="1:7" x14ac:dyDescent="0.25">
      <c r="A46" s="2">
        <v>41518</v>
      </c>
      <c r="B46">
        <v>2013</v>
      </c>
      <c r="C46">
        <v>9</v>
      </c>
      <c r="D46" s="1" t="s">
        <v>15</v>
      </c>
      <c r="E46">
        <v>92.78</v>
      </c>
      <c r="F46">
        <v>109.96</v>
      </c>
      <c r="G46">
        <v>84.4</v>
      </c>
    </row>
    <row r="47" spans="1:7" x14ac:dyDescent="0.25">
      <c r="A47" s="2">
        <v>41548</v>
      </c>
      <c r="B47">
        <v>2013</v>
      </c>
      <c r="C47">
        <v>10</v>
      </c>
      <c r="D47" s="1" t="s">
        <v>15</v>
      </c>
      <c r="E47">
        <v>87.21</v>
      </c>
      <c r="F47">
        <v>104.95</v>
      </c>
      <c r="G47">
        <v>83.1</v>
      </c>
    </row>
    <row r="48" spans="1:7" x14ac:dyDescent="0.25">
      <c r="A48" s="2">
        <v>41579</v>
      </c>
      <c r="B48">
        <v>2013</v>
      </c>
      <c r="C48">
        <v>11</v>
      </c>
      <c r="D48" s="1" t="s">
        <v>15</v>
      </c>
      <c r="E48">
        <v>80.03</v>
      </c>
      <c r="F48">
        <v>97.88</v>
      </c>
      <c r="G48">
        <v>81.8</v>
      </c>
    </row>
    <row r="49" spans="1:7" x14ac:dyDescent="0.25">
      <c r="A49" s="2">
        <v>41609</v>
      </c>
      <c r="B49">
        <v>2013</v>
      </c>
      <c r="C49">
        <v>12</v>
      </c>
      <c r="D49" s="1" t="s">
        <v>15</v>
      </c>
      <c r="E49">
        <v>72.22</v>
      </c>
      <c r="F49">
        <v>93.42</v>
      </c>
      <c r="G49">
        <v>77.3</v>
      </c>
    </row>
    <row r="50" spans="1:7" x14ac:dyDescent="0.25">
      <c r="A50" s="2">
        <v>41640</v>
      </c>
      <c r="B50">
        <v>2014</v>
      </c>
      <c r="C50">
        <v>1</v>
      </c>
      <c r="D50" s="1" t="s">
        <v>15</v>
      </c>
      <c r="E50">
        <v>73.569999999999993</v>
      </c>
      <c r="F50">
        <v>91.93</v>
      </c>
      <c r="G50">
        <v>80</v>
      </c>
    </row>
    <row r="51" spans="1:7" x14ac:dyDescent="0.25">
      <c r="A51" s="2">
        <v>41671</v>
      </c>
      <c r="B51">
        <v>2014</v>
      </c>
      <c r="C51">
        <v>2</v>
      </c>
      <c r="D51" s="1" t="s">
        <v>15</v>
      </c>
      <c r="E51">
        <v>69.12</v>
      </c>
      <c r="F51">
        <v>87.24</v>
      </c>
      <c r="G51">
        <v>79.2</v>
      </c>
    </row>
    <row r="52" spans="1:7" x14ac:dyDescent="0.25">
      <c r="A52" s="2">
        <v>41699</v>
      </c>
      <c r="B52">
        <v>2014</v>
      </c>
      <c r="C52">
        <v>3</v>
      </c>
      <c r="D52" s="1" t="s">
        <v>15</v>
      </c>
      <c r="E52">
        <v>68.95</v>
      </c>
      <c r="F52">
        <v>84.44</v>
      </c>
      <c r="G52">
        <v>81.7</v>
      </c>
    </row>
    <row r="53" spans="1:7" x14ac:dyDescent="0.25">
      <c r="A53" s="2">
        <v>41730</v>
      </c>
      <c r="B53">
        <v>2014</v>
      </c>
      <c r="C53">
        <v>4</v>
      </c>
      <c r="D53" s="1" t="s">
        <v>15</v>
      </c>
      <c r="E53">
        <v>75.02</v>
      </c>
      <c r="F53">
        <v>90.65</v>
      </c>
      <c r="G53">
        <v>82.8</v>
      </c>
    </row>
    <row r="54" spans="1:7" x14ac:dyDescent="0.25">
      <c r="A54" s="2">
        <v>41760</v>
      </c>
      <c r="B54">
        <v>2014</v>
      </c>
      <c r="C54">
        <v>5</v>
      </c>
      <c r="D54" s="1" t="s">
        <v>15</v>
      </c>
      <c r="E54">
        <v>84.27</v>
      </c>
      <c r="F54">
        <v>101.97</v>
      </c>
      <c r="G54">
        <v>82.6</v>
      </c>
    </row>
    <row r="55" spans="1:7" x14ac:dyDescent="0.25">
      <c r="A55" s="2">
        <v>41791</v>
      </c>
      <c r="B55">
        <v>2014</v>
      </c>
      <c r="C55">
        <v>6</v>
      </c>
      <c r="D55" s="1" t="s">
        <v>15</v>
      </c>
      <c r="E55">
        <v>90.26</v>
      </c>
      <c r="F55">
        <v>106</v>
      </c>
      <c r="G55">
        <v>85.2</v>
      </c>
    </row>
    <row r="56" spans="1:7" x14ac:dyDescent="0.25">
      <c r="A56" s="2">
        <v>41821</v>
      </c>
      <c r="B56">
        <v>2014</v>
      </c>
      <c r="C56">
        <v>7</v>
      </c>
      <c r="D56" s="1" t="s">
        <v>15</v>
      </c>
      <c r="E56">
        <v>91.48</v>
      </c>
      <c r="F56">
        <v>111.71</v>
      </c>
      <c r="G56">
        <v>81.900000000000006</v>
      </c>
    </row>
    <row r="57" spans="1:7" x14ac:dyDescent="0.25">
      <c r="A57" s="2">
        <v>41852</v>
      </c>
      <c r="B57">
        <v>2014</v>
      </c>
      <c r="C57">
        <v>8</v>
      </c>
      <c r="D57" s="1" t="s">
        <v>15</v>
      </c>
      <c r="E57">
        <v>99.74</v>
      </c>
      <c r="F57">
        <v>118</v>
      </c>
      <c r="G57">
        <v>84.5</v>
      </c>
    </row>
    <row r="58" spans="1:7" x14ac:dyDescent="0.25">
      <c r="A58" s="2">
        <v>41883</v>
      </c>
      <c r="B58">
        <v>2014</v>
      </c>
      <c r="C58">
        <v>9</v>
      </c>
      <c r="D58" s="1" t="s">
        <v>15</v>
      </c>
      <c r="E58">
        <v>91.02</v>
      </c>
      <c r="F58">
        <v>111.85</v>
      </c>
      <c r="G58">
        <v>81.400000000000006</v>
      </c>
    </row>
    <row r="59" spans="1:7" x14ac:dyDescent="0.25">
      <c r="A59" s="2">
        <v>41913</v>
      </c>
      <c r="B59">
        <v>2014</v>
      </c>
      <c r="C59">
        <v>10</v>
      </c>
      <c r="D59" s="1" t="s">
        <v>15</v>
      </c>
      <c r="E59">
        <v>94.39</v>
      </c>
      <c r="F59">
        <v>113.7</v>
      </c>
      <c r="G59">
        <v>83</v>
      </c>
    </row>
    <row r="60" spans="1:7" x14ac:dyDescent="0.25">
      <c r="A60" s="2">
        <v>41944</v>
      </c>
      <c r="B60">
        <v>2014</v>
      </c>
      <c r="C60">
        <v>11</v>
      </c>
      <c r="D60" s="1" t="s">
        <v>15</v>
      </c>
      <c r="E60">
        <v>85.03</v>
      </c>
      <c r="F60">
        <v>104.25</v>
      </c>
      <c r="G60">
        <v>81.599999999999994</v>
      </c>
    </row>
    <row r="61" spans="1:7" x14ac:dyDescent="0.25">
      <c r="A61" s="2">
        <v>41974</v>
      </c>
      <c r="B61">
        <v>2014</v>
      </c>
      <c r="C61">
        <v>12</v>
      </c>
      <c r="D61" s="1" t="s">
        <v>15</v>
      </c>
      <c r="E61">
        <v>77.510000000000005</v>
      </c>
      <c r="F61">
        <v>93.87</v>
      </c>
      <c r="G61">
        <v>82.6</v>
      </c>
    </row>
    <row r="62" spans="1:7" x14ac:dyDescent="0.25">
      <c r="A62" s="2">
        <v>42005</v>
      </c>
      <c r="B62">
        <v>2015</v>
      </c>
      <c r="C62">
        <v>1</v>
      </c>
      <c r="D62" s="1" t="s">
        <v>15</v>
      </c>
      <c r="E62">
        <v>73.400000000000006</v>
      </c>
      <c r="F62">
        <v>89.61</v>
      </c>
      <c r="G62">
        <v>81.900000000000006</v>
      </c>
    </row>
    <row r="63" spans="1:7" x14ac:dyDescent="0.25">
      <c r="A63" s="2">
        <v>42036</v>
      </c>
      <c r="B63">
        <v>2015</v>
      </c>
      <c r="C63">
        <v>2</v>
      </c>
      <c r="D63" s="1" t="s">
        <v>15</v>
      </c>
      <c r="E63">
        <v>72.62</v>
      </c>
      <c r="F63">
        <v>90.05</v>
      </c>
      <c r="G63">
        <v>80.599999999999994</v>
      </c>
    </row>
    <row r="64" spans="1:7" x14ac:dyDescent="0.25">
      <c r="A64" s="2">
        <v>42064</v>
      </c>
      <c r="B64">
        <v>2015</v>
      </c>
      <c r="C64">
        <v>3</v>
      </c>
      <c r="D64" s="1" t="s">
        <v>15</v>
      </c>
      <c r="E64">
        <v>75.55</v>
      </c>
      <c r="F64">
        <v>86.02</v>
      </c>
      <c r="G64">
        <v>87.8</v>
      </c>
    </row>
    <row r="65" spans="1:7" x14ac:dyDescent="0.25">
      <c r="A65" s="2">
        <v>42095</v>
      </c>
      <c r="B65">
        <v>2015</v>
      </c>
      <c r="C65">
        <v>4</v>
      </c>
      <c r="D65" s="1" t="s">
        <v>15</v>
      </c>
      <c r="E65">
        <v>75.150000000000006</v>
      </c>
      <c r="F65">
        <v>90.92</v>
      </c>
      <c r="G65">
        <v>82.6</v>
      </c>
    </row>
    <row r="66" spans="1:7" x14ac:dyDescent="0.25">
      <c r="A66" s="2">
        <v>42125</v>
      </c>
      <c r="B66">
        <v>2015</v>
      </c>
      <c r="C66">
        <v>5</v>
      </c>
      <c r="D66" s="1" t="s">
        <v>15</v>
      </c>
      <c r="E66">
        <v>83.98</v>
      </c>
      <c r="F66">
        <v>100.99</v>
      </c>
      <c r="G66">
        <v>83.2</v>
      </c>
    </row>
    <row r="67" spans="1:7" x14ac:dyDescent="0.25">
      <c r="A67" s="2">
        <v>42156</v>
      </c>
      <c r="B67">
        <v>2015</v>
      </c>
      <c r="C67">
        <v>6</v>
      </c>
      <c r="D67" s="1" t="s">
        <v>15</v>
      </c>
      <c r="E67">
        <v>92.74</v>
      </c>
      <c r="F67">
        <v>111.03</v>
      </c>
      <c r="G67">
        <v>83.5</v>
      </c>
    </row>
    <row r="68" spans="1:7" x14ac:dyDescent="0.25">
      <c r="A68" s="2">
        <v>42186</v>
      </c>
      <c r="B68">
        <v>2015</v>
      </c>
      <c r="C68">
        <v>7</v>
      </c>
      <c r="D68" s="1" t="s">
        <v>15</v>
      </c>
      <c r="E68">
        <v>101.1</v>
      </c>
      <c r="F68">
        <v>122.72</v>
      </c>
      <c r="G68">
        <v>82.4</v>
      </c>
    </row>
    <row r="69" spans="1:7" x14ac:dyDescent="0.25">
      <c r="A69" s="2">
        <v>42217</v>
      </c>
      <c r="B69">
        <v>2015</v>
      </c>
      <c r="C69">
        <v>8</v>
      </c>
      <c r="D69" s="1" t="s">
        <v>15</v>
      </c>
      <c r="E69">
        <v>103.04</v>
      </c>
      <c r="F69">
        <v>133.27000000000001</v>
      </c>
      <c r="G69">
        <v>77.3</v>
      </c>
    </row>
    <row r="70" spans="1:7" x14ac:dyDescent="0.25">
      <c r="A70" s="2">
        <v>42248</v>
      </c>
      <c r="B70">
        <v>2015</v>
      </c>
      <c r="C70">
        <v>9</v>
      </c>
      <c r="D70" s="1" t="s">
        <v>15</v>
      </c>
      <c r="E70">
        <v>102.91</v>
      </c>
      <c r="F70">
        <v>124.36</v>
      </c>
      <c r="G70">
        <v>82.8</v>
      </c>
    </row>
    <row r="71" spans="1:7" x14ac:dyDescent="0.25">
      <c r="A71" s="2">
        <v>42278</v>
      </c>
      <c r="B71">
        <v>2015</v>
      </c>
      <c r="C71">
        <v>10</v>
      </c>
      <c r="D71" s="1" t="s">
        <v>15</v>
      </c>
      <c r="E71">
        <v>96.67</v>
      </c>
      <c r="F71">
        <v>121.5</v>
      </c>
      <c r="G71">
        <v>79.599999999999994</v>
      </c>
    </row>
    <row r="72" spans="1:7" x14ac:dyDescent="0.25">
      <c r="A72" s="2">
        <v>42309</v>
      </c>
      <c r="B72">
        <v>2015</v>
      </c>
      <c r="C72">
        <v>11</v>
      </c>
      <c r="D72" s="1" t="s">
        <v>15</v>
      </c>
      <c r="E72">
        <v>85.14</v>
      </c>
      <c r="F72">
        <v>103.46</v>
      </c>
      <c r="G72">
        <v>82.3</v>
      </c>
    </row>
    <row r="73" spans="1:7" x14ac:dyDescent="0.25">
      <c r="A73" s="2">
        <v>42339</v>
      </c>
      <c r="B73">
        <v>2015</v>
      </c>
      <c r="C73">
        <v>12</v>
      </c>
      <c r="D73" s="1" t="s">
        <v>15</v>
      </c>
      <c r="E73">
        <v>80.92</v>
      </c>
      <c r="F73">
        <v>98</v>
      </c>
      <c r="G73">
        <v>82.6</v>
      </c>
    </row>
    <row r="74" spans="1:7" x14ac:dyDescent="0.25">
      <c r="A74" s="2">
        <v>42370</v>
      </c>
      <c r="B74">
        <v>2016</v>
      </c>
      <c r="C74">
        <v>1</v>
      </c>
      <c r="D74" s="1" t="s">
        <v>15</v>
      </c>
      <c r="E74">
        <v>78.88</v>
      </c>
      <c r="F74">
        <v>100.52</v>
      </c>
      <c r="G74">
        <v>78.5</v>
      </c>
    </row>
    <row r="75" spans="1:7" x14ac:dyDescent="0.25">
      <c r="A75" s="2">
        <v>42401</v>
      </c>
      <c r="B75">
        <v>2016</v>
      </c>
      <c r="C75">
        <v>2</v>
      </c>
      <c r="D75" s="1" t="s">
        <v>15</v>
      </c>
      <c r="E75">
        <v>77</v>
      </c>
      <c r="F75">
        <v>93.88</v>
      </c>
      <c r="G75">
        <v>82</v>
      </c>
    </row>
    <row r="76" spans="1:7" x14ac:dyDescent="0.25">
      <c r="A76" s="2">
        <v>42430</v>
      </c>
      <c r="B76">
        <v>2016</v>
      </c>
      <c r="C76">
        <v>3</v>
      </c>
      <c r="D76" s="1" t="s">
        <v>15</v>
      </c>
      <c r="E76">
        <v>76.28</v>
      </c>
      <c r="F76">
        <v>96.49</v>
      </c>
      <c r="G76">
        <v>79.099999999999994</v>
      </c>
    </row>
    <row r="77" spans="1:7" x14ac:dyDescent="0.25">
      <c r="A77" s="2">
        <v>42461</v>
      </c>
      <c r="B77">
        <v>2016</v>
      </c>
      <c r="C77">
        <v>4</v>
      </c>
      <c r="D77" s="1" t="s">
        <v>15</v>
      </c>
      <c r="E77">
        <v>83.05</v>
      </c>
      <c r="F77">
        <v>107.62</v>
      </c>
      <c r="G77">
        <v>77.2</v>
      </c>
    </row>
    <row r="78" spans="1:7" x14ac:dyDescent="0.25">
      <c r="A78" s="2">
        <v>42491</v>
      </c>
      <c r="B78">
        <v>2016</v>
      </c>
      <c r="C78">
        <v>5</v>
      </c>
      <c r="D78" s="1" t="s">
        <v>15</v>
      </c>
      <c r="E78">
        <v>90.41</v>
      </c>
      <c r="F78">
        <v>114.42</v>
      </c>
      <c r="G78">
        <v>79</v>
      </c>
    </row>
    <row r="79" spans="1:7" x14ac:dyDescent="0.25">
      <c r="A79" s="2">
        <v>42522</v>
      </c>
      <c r="B79">
        <v>2016</v>
      </c>
      <c r="C79">
        <v>6</v>
      </c>
      <c r="D79" s="1" t="s">
        <v>15</v>
      </c>
      <c r="E79">
        <v>95.72</v>
      </c>
      <c r="F79">
        <v>117.07</v>
      </c>
      <c r="G79">
        <v>81.8</v>
      </c>
    </row>
    <row r="80" spans="1:7" x14ac:dyDescent="0.25">
      <c r="A80" s="2">
        <v>42552</v>
      </c>
      <c r="B80">
        <v>2016</v>
      </c>
      <c r="C80">
        <v>7</v>
      </c>
      <c r="D80" s="1" t="s">
        <v>15</v>
      </c>
      <c r="E80">
        <v>104.3</v>
      </c>
      <c r="F80">
        <v>127.75</v>
      </c>
      <c r="G80">
        <v>81.599999999999994</v>
      </c>
    </row>
    <row r="81" spans="1:7" x14ac:dyDescent="0.25">
      <c r="A81" s="2">
        <v>42583</v>
      </c>
      <c r="B81">
        <v>2016</v>
      </c>
      <c r="C81">
        <v>8</v>
      </c>
      <c r="D81" s="1" t="s">
        <v>15</v>
      </c>
      <c r="E81">
        <v>100.64</v>
      </c>
      <c r="F81">
        <v>124.27</v>
      </c>
      <c r="G81">
        <v>81</v>
      </c>
    </row>
    <row r="82" spans="1:7" x14ac:dyDescent="0.25">
      <c r="A82" s="2">
        <v>42614</v>
      </c>
      <c r="B82">
        <v>2016</v>
      </c>
      <c r="C82">
        <v>9</v>
      </c>
      <c r="D82" s="1" t="s">
        <v>15</v>
      </c>
      <c r="E82">
        <v>105.16</v>
      </c>
      <c r="F82">
        <v>126.59</v>
      </c>
      <c r="G82">
        <v>83.1</v>
      </c>
    </row>
    <row r="83" spans="1:7" x14ac:dyDescent="0.25">
      <c r="A83" s="2">
        <v>42644</v>
      </c>
      <c r="B83">
        <v>2016</v>
      </c>
      <c r="C83">
        <v>10</v>
      </c>
      <c r="D83" s="1" t="s">
        <v>15</v>
      </c>
      <c r="E83">
        <v>95.44</v>
      </c>
      <c r="F83">
        <v>117.06</v>
      </c>
      <c r="G83">
        <v>81.5</v>
      </c>
    </row>
    <row r="84" spans="1:7" x14ac:dyDescent="0.25">
      <c r="A84" s="2">
        <v>42675</v>
      </c>
      <c r="B84">
        <v>2016</v>
      </c>
      <c r="C84">
        <v>11</v>
      </c>
      <c r="D84" s="1" t="s">
        <v>15</v>
      </c>
      <c r="E84">
        <v>85.91</v>
      </c>
      <c r="F84">
        <v>103.78</v>
      </c>
      <c r="G84">
        <v>82.8</v>
      </c>
    </row>
    <row r="85" spans="1:7" x14ac:dyDescent="0.25">
      <c r="A85" s="2">
        <v>42705</v>
      </c>
      <c r="B85">
        <v>2016</v>
      </c>
      <c r="C85">
        <v>12</v>
      </c>
      <c r="D85" s="1" t="s">
        <v>15</v>
      </c>
      <c r="E85">
        <v>79.209999999999994</v>
      </c>
      <c r="F85">
        <v>94.85</v>
      </c>
      <c r="G85">
        <v>83.5</v>
      </c>
    </row>
    <row r="86" spans="1:7" x14ac:dyDescent="0.25">
      <c r="A86" s="2">
        <v>42736</v>
      </c>
      <c r="B86">
        <v>2017</v>
      </c>
      <c r="C86">
        <v>1</v>
      </c>
      <c r="D86" s="1" t="s">
        <v>15</v>
      </c>
      <c r="E86">
        <v>79.05</v>
      </c>
      <c r="F86">
        <v>91.1</v>
      </c>
      <c r="G86">
        <v>86.8</v>
      </c>
    </row>
    <row r="87" spans="1:7" x14ac:dyDescent="0.25">
      <c r="A87" s="2">
        <v>42767</v>
      </c>
      <c r="B87">
        <v>2017</v>
      </c>
      <c r="C87">
        <v>2</v>
      </c>
      <c r="D87" s="1" t="s">
        <v>15</v>
      </c>
      <c r="E87">
        <v>74.62</v>
      </c>
      <c r="F87">
        <v>91.22</v>
      </c>
      <c r="G87">
        <v>81.8</v>
      </c>
    </row>
    <row r="88" spans="1:7" x14ac:dyDescent="0.25">
      <c r="A88" s="2">
        <v>42795</v>
      </c>
      <c r="B88">
        <v>2017</v>
      </c>
      <c r="C88">
        <v>3</v>
      </c>
      <c r="D88" s="1" t="s">
        <v>15</v>
      </c>
      <c r="E88">
        <v>83.53</v>
      </c>
      <c r="F88">
        <v>98.99</v>
      </c>
      <c r="G88">
        <v>84.4</v>
      </c>
    </row>
    <row r="89" spans="1:7" x14ac:dyDescent="0.25">
      <c r="A89" s="2">
        <v>42826</v>
      </c>
      <c r="B89">
        <v>2017</v>
      </c>
      <c r="C89">
        <v>4</v>
      </c>
      <c r="D89" s="1" t="s">
        <v>15</v>
      </c>
      <c r="E89">
        <v>82.6</v>
      </c>
      <c r="F89">
        <v>100.19</v>
      </c>
      <c r="G89">
        <v>82.4</v>
      </c>
    </row>
    <row r="90" spans="1:7" x14ac:dyDescent="0.25">
      <c r="A90" s="2">
        <v>42856</v>
      </c>
      <c r="B90">
        <v>2017</v>
      </c>
      <c r="C90">
        <v>5</v>
      </c>
      <c r="D90" s="1" t="s">
        <v>15</v>
      </c>
      <c r="E90">
        <v>91.42</v>
      </c>
      <c r="F90">
        <v>110.73</v>
      </c>
      <c r="G90">
        <v>82.6</v>
      </c>
    </row>
    <row r="91" spans="1:7" x14ac:dyDescent="0.25">
      <c r="A91" s="2">
        <v>42887</v>
      </c>
      <c r="B91">
        <v>2017</v>
      </c>
      <c r="C91">
        <v>6</v>
      </c>
      <c r="D91" s="1" t="s">
        <v>15</v>
      </c>
      <c r="E91">
        <v>96.48</v>
      </c>
      <c r="F91">
        <v>117.91</v>
      </c>
      <c r="G91">
        <v>81.8</v>
      </c>
    </row>
    <row r="92" spans="1:7" x14ac:dyDescent="0.25">
      <c r="A92" s="2">
        <v>42917</v>
      </c>
      <c r="B92">
        <v>2017</v>
      </c>
      <c r="C92">
        <v>7</v>
      </c>
      <c r="D92" s="1" t="s">
        <v>15</v>
      </c>
      <c r="E92">
        <v>98.95</v>
      </c>
      <c r="F92">
        <v>120.27</v>
      </c>
      <c r="G92">
        <v>82.3</v>
      </c>
    </row>
    <row r="93" spans="1:7" x14ac:dyDescent="0.25">
      <c r="A93" s="2">
        <v>42948</v>
      </c>
      <c r="B93">
        <v>2017</v>
      </c>
      <c r="C93">
        <v>8</v>
      </c>
      <c r="D93" s="1" t="s">
        <v>15</v>
      </c>
      <c r="E93">
        <v>107.36</v>
      </c>
      <c r="F93">
        <v>131.66</v>
      </c>
      <c r="G93">
        <v>81.5</v>
      </c>
    </row>
    <row r="94" spans="1:7" x14ac:dyDescent="0.25">
      <c r="A94" s="2">
        <v>42979</v>
      </c>
      <c r="B94">
        <v>2017</v>
      </c>
      <c r="C94">
        <v>9</v>
      </c>
      <c r="D94" s="1" t="s">
        <v>15</v>
      </c>
      <c r="E94">
        <v>99.39</v>
      </c>
      <c r="F94">
        <v>118.36</v>
      </c>
      <c r="G94">
        <v>84</v>
      </c>
    </row>
    <row r="95" spans="1:7" x14ac:dyDescent="0.25">
      <c r="A95" s="2">
        <v>43009</v>
      </c>
      <c r="B95">
        <v>2017</v>
      </c>
      <c r="C95">
        <v>10</v>
      </c>
      <c r="D95" s="1" t="s">
        <v>15</v>
      </c>
      <c r="E95">
        <v>100.6</v>
      </c>
      <c r="F95">
        <v>124.89</v>
      </c>
      <c r="G95">
        <v>80.5</v>
      </c>
    </row>
    <row r="96" spans="1:7" x14ac:dyDescent="0.25">
      <c r="A96" s="2">
        <v>43040</v>
      </c>
      <c r="B96">
        <v>2017</v>
      </c>
      <c r="C96">
        <v>11</v>
      </c>
      <c r="D96" s="1" t="s">
        <v>15</v>
      </c>
      <c r="E96">
        <v>92.01</v>
      </c>
      <c r="F96">
        <v>116.48</v>
      </c>
      <c r="G96">
        <v>79</v>
      </c>
    </row>
    <row r="97" spans="1:7" x14ac:dyDescent="0.25">
      <c r="A97" s="2">
        <v>43070</v>
      </c>
      <c r="B97">
        <v>2017</v>
      </c>
      <c r="C97">
        <v>12</v>
      </c>
      <c r="D97" s="1" t="s">
        <v>15</v>
      </c>
      <c r="E97">
        <v>83.44</v>
      </c>
      <c r="F97">
        <v>103.11</v>
      </c>
      <c r="G97">
        <v>80.900000000000006</v>
      </c>
    </row>
    <row r="98" spans="1:7" x14ac:dyDescent="0.25">
      <c r="A98" s="2">
        <v>43101</v>
      </c>
      <c r="B98">
        <v>2018</v>
      </c>
      <c r="C98">
        <v>1</v>
      </c>
      <c r="D98" s="1" t="s">
        <v>15</v>
      </c>
      <c r="E98">
        <v>84.18</v>
      </c>
      <c r="F98">
        <v>104.29</v>
      </c>
      <c r="G98">
        <v>80.7</v>
      </c>
    </row>
    <row r="99" spans="1:7" x14ac:dyDescent="0.25">
      <c r="A99" s="2">
        <v>43132</v>
      </c>
      <c r="B99">
        <v>2018</v>
      </c>
      <c r="C99">
        <v>2</v>
      </c>
      <c r="D99" s="1" t="s">
        <v>15</v>
      </c>
      <c r="E99">
        <v>81</v>
      </c>
      <c r="F99">
        <v>100.09</v>
      </c>
      <c r="G99">
        <v>80.900000000000006</v>
      </c>
    </row>
    <row r="100" spans="1:7" x14ac:dyDescent="0.25">
      <c r="A100" s="2">
        <v>43160</v>
      </c>
      <c r="B100">
        <v>2018</v>
      </c>
      <c r="C100">
        <v>3</v>
      </c>
      <c r="D100" s="1" t="s">
        <v>15</v>
      </c>
      <c r="E100">
        <v>82.14</v>
      </c>
      <c r="F100">
        <v>100.52</v>
      </c>
      <c r="G100">
        <v>81.7</v>
      </c>
    </row>
    <row r="101" spans="1:7" x14ac:dyDescent="0.25">
      <c r="A101" s="2">
        <v>43191</v>
      </c>
      <c r="B101">
        <v>2018</v>
      </c>
      <c r="C101">
        <v>4</v>
      </c>
      <c r="D101" s="1" t="s">
        <v>15</v>
      </c>
      <c r="E101">
        <v>89.2</v>
      </c>
      <c r="F101">
        <v>110.22</v>
      </c>
      <c r="G101">
        <v>80.900000000000006</v>
      </c>
    </row>
    <row r="102" spans="1:7" x14ac:dyDescent="0.25">
      <c r="A102" s="2">
        <v>43221</v>
      </c>
      <c r="B102">
        <v>2018</v>
      </c>
      <c r="C102">
        <v>5</v>
      </c>
      <c r="D102" s="1" t="s">
        <v>15</v>
      </c>
      <c r="E102">
        <v>89.83</v>
      </c>
      <c r="F102">
        <v>113.37</v>
      </c>
      <c r="G102">
        <v>79.2</v>
      </c>
    </row>
    <row r="103" spans="1:7" x14ac:dyDescent="0.25">
      <c r="A103" s="2">
        <v>43252</v>
      </c>
      <c r="B103">
        <v>2018</v>
      </c>
      <c r="C103">
        <v>6</v>
      </c>
      <c r="D103" s="1" t="s">
        <v>15</v>
      </c>
      <c r="E103">
        <v>99.87</v>
      </c>
      <c r="F103">
        <v>125.62</v>
      </c>
      <c r="G103">
        <v>79.5</v>
      </c>
    </row>
    <row r="104" spans="1:7" x14ac:dyDescent="0.25">
      <c r="A104" s="2">
        <v>43282</v>
      </c>
      <c r="B104">
        <v>2018</v>
      </c>
      <c r="C104">
        <v>7</v>
      </c>
      <c r="D104" s="1" t="s">
        <v>15</v>
      </c>
      <c r="E104">
        <v>108.24</v>
      </c>
      <c r="F104">
        <v>133.52000000000001</v>
      </c>
      <c r="G104">
        <v>81.099999999999994</v>
      </c>
    </row>
    <row r="105" spans="1:7" x14ac:dyDescent="0.25">
      <c r="A105" s="2">
        <v>43313</v>
      </c>
      <c r="B105">
        <v>2018</v>
      </c>
      <c r="C105">
        <v>8</v>
      </c>
      <c r="D105" s="1" t="s">
        <v>15</v>
      </c>
      <c r="E105">
        <v>117.14</v>
      </c>
      <c r="F105">
        <v>149.16999999999999</v>
      </c>
      <c r="G105">
        <v>78.5</v>
      </c>
    </row>
    <row r="106" spans="1:7" x14ac:dyDescent="0.25">
      <c r="A106" s="2">
        <v>43344</v>
      </c>
      <c r="B106">
        <v>2018</v>
      </c>
      <c r="C106">
        <v>9</v>
      </c>
      <c r="D106" s="1" t="s">
        <v>15</v>
      </c>
      <c r="E106">
        <v>108.09</v>
      </c>
      <c r="F106">
        <v>135.55000000000001</v>
      </c>
      <c r="G106">
        <v>79.7</v>
      </c>
    </row>
    <row r="107" spans="1:7" x14ac:dyDescent="0.25">
      <c r="A107" s="2">
        <v>43374</v>
      </c>
      <c r="B107">
        <v>2018</v>
      </c>
      <c r="C107">
        <v>10</v>
      </c>
      <c r="D107" s="1" t="s">
        <v>15</v>
      </c>
      <c r="E107">
        <v>100.96</v>
      </c>
      <c r="F107">
        <v>122.69</v>
      </c>
      <c r="G107">
        <v>82.3</v>
      </c>
    </row>
    <row r="108" spans="1:7" x14ac:dyDescent="0.25">
      <c r="A108" s="2">
        <v>43405</v>
      </c>
      <c r="B108">
        <v>2018</v>
      </c>
      <c r="C108">
        <v>11</v>
      </c>
      <c r="D108" s="1" t="s">
        <v>15</v>
      </c>
      <c r="E108">
        <v>89.1</v>
      </c>
      <c r="F108">
        <v>108.04</v>
      </c>
      <c r="G108">
        <v>82.5</v>
      </c>
    </row>
    <row r="109" spans="1:7" x14ac:dyDescent="0.25">
      <c r="A109" s="2">
        <v>43435</v>
      </c>
      <c r="B109">
        <v>2018</v>
      </c>
      <c r="C109">
        <v>12</v>
      </c>
      <c r="D109" s="1" t="s">
        <v>15</v>
      </c>
      <c r="E109">
        <v>93.79</v>
      </c>
      <c r="F109">
        <v>115.66</v>
      </c>
      <c r="G109">
        <v>81.099999999999994</v>
      </c>
    </row>
    <row r="110" spans="1:7" x14ac:dyDescent="0.25">
      <c r="A110" s="2">
        <v>43466</v>
      </c>
      <c r="B110">
        <v>2019</v>
      </c>
      <c r="C110">
        <v>1</v>
      </c>
      <c r="D110" s="1" t="s">
        <v>15</v>
      </c>
      <c r="E110">
        <v>84.18</v>
      </c>
      <c r="F110">
        <v>100.16</v>
      </c>
      <c r="G110">
        <v>84</v>
      </c>
    </row>
    <row r="111" spans="1:7" x14ac:dyDescent="0.25">
      <c r="A111" s="2">
        <v>43497</v>
      </c>
      <c r="B111">
        <v>2019</v>
      </c>
      <c r="C111">
        <v>2</v>
      </c>
      <c r="D111" s="1" t="s">
        <v>15</v>
      </c>
      <c r="E111">
        <v>77.319999999999993</v>
      </c>
      <c r="F111">
        <v>95.65</v>
      </c>
      <c r="G111">
        <v>80.8</v>
      </c>
    </row>
    <row r="112" spans="1:7" x14ac:dyDescent="0.25">
      <c r="A112" s="2">
        <v>43525</v>
      </c>
      <c r="B112">
        <v>2019</v>
      </c>
      <c r="C112">
        <v>3</v>
      </c>
      <c r="D112" s="1" t="s">
        <v>15</v>
      </c>
      <c r="E112">
        <v>70.569999999999993</v>
      </c>
      <c r="F112">
        <v>84.73</v>
      </c>
      <c r="G112">
        <v>83.3</v>
      </c>
    </row>
    <row r="113" spans="1:7" x14ac:dyDescent="0.25">
      <c r="A113" s="2">
        <v>43556</v>
      </c>
      <c r="B113">
        <v>2019</v>
      </c>
      <c r="C113">
        <v>4</v>
      </c>
      <c r="D113" s="1" t="s">
        <v>15</v>
      </c>
      <c r="E113">
        <v>75.819999999999993</v>
      </c>
      <c r="F113">
        <v>94.81</v>
      </c>
      <c r="G113">
        <v>80</v>
      </c>
    </row>
    <row r="114" spans="1:7" x14ac:dyDescent="0.25">
      <c r="A114" s="2">
        <v>43586</v>
      </c>
      <c r="B114">
        <v>2019</v>
      </c>
      <c r="C114">
        <v>5</v>
      </c>
      <c r="D114" s="1" t="s">
        <v>15</v>
      </c>
      <c r="E114">
        <v>77.959999999999994</v>
      </c>
      <c r="F114">
        <v>96.45</v>
      </c>
      <c r="G114">
        <v>80.8</v>
      </c>
    </row>
    <row r="115" spans="1:7" x14ac:dyDescent="0.25">
      <c r="A115" s="2">
        <v>43617</v>
      </c>
      <c r="B115">
        <v>2019</v>
      </c>
      <c r="C115">
        <v>6</v>
      </c>
      <c r="D115" s="1" t="s">
        <v>15</v>
      </c>
      <c r="E115">
        <v>77.33</v>
      </c>
      <c r="F115">
        <v>92.93</v>
      </c>
      <c r="G115">
        <v>83.2</v>
      </c>
    </row>
    <row r="116" spans="1:7" x14ac:dyDescent="0.25">
      <c r="A116" s="2">
        <v>43647</v>
      </c>
      <c r="B116">
        <v>2019</v>
      </c>
      <c r="C116">
        <v>7</v>
      </c>
      <c r="D116" s="1" t="s">
        <v>15</v>
      </c>
      <c r="E116">
        <v>74.349999999999994</v>
      </c>
      <c r="F116">
        <v>88.42</v>
      </c>
      <c r="G116">
        <v>84.1</v>
      </c>
    </row>
    <row r="117" spans="1:7" x14ac:dyDescent="0.25">
      <c r="A117" s="2">
        <v>43678</v>
      </c>
      <c r="B117">
        <v>2019</v>
      </c>
      <c r="C117">
        <v>8</v>
      </c>
      <c r="D117" s="1" t="s">
        <v>15</v>
      </c>
      <c r="E117">
        <v>70.489999999999995</v>
      </c>
      <c r="F117">
        <v>87.37</v>
      </c>
      <c r="G117">
        <v>80.7</v>
      </c>
    </row>
    <row r="118" spans="1:7" x14ac:dyDescent="0.25">
      <c r="A118" s="2">
        <v>43709</v>
      </c>
      <c r="B118">
        <v>2019</v>
      </c>
      <c r="C118">
        <v>9</v>
      </c>
      <c r="D118" s="1" t="s">
        <v>15</v>
      </c>
      <c r="E118">
        <v>71.02</v>
      </c>
      <c r="F118">
        <v>84.29</v>
      </c>
      <c r="G118">
        <v>84.3</v>
      </c>
    </row>
    <row r="119" spans="1:7" x14ac:dyDescent="0.25">
      <c r="A119" s="2">
        <v>43739</v>
      </c>
      <c r="B119">
        <v>2019</v>
      </c>
      <c r="C119">
        <v>10</v>
      </c>
      <c r="D119" s="1" t="s">
        <v>15</v>
      </c>
      <c r="E119">
        <v>59.03</v>
      </c>
      <c r="F119">
        <v>73.680000000000007</v>
      </c>
      <c r="G119">
        <v>80.099999999999994</v>
      </c>
    </row>
    <row r="120" spans="1:7" x14ac:dyDescent="0.25">
      <c r="A120" s="2">
        <v>43770</v>
      </c>
      <c r="B120">
        <v>2019</v>
      </c>
      <c r="C120">
        <v>11</v>
      </c>
      <c r="D120" s="1" t="s">
        <v>15</v>
      </c>
      <c r="E120">
        <v>49.38</v>
      </c>
      <c r="F120">
        <v>60.11</v>
      </c>
      <c r="G120">
        <v>82.1</v>
      </c>
    </row>
    <row r="121" spans="1:7" x14ac:dyDescent="0.25">
      <c r="A121" s="2">
        <v>43800</v>
      </c>
      <c r="B121">
        <v>2019</v>
      </c>
      <c r="C121">
        <v>12</v>
      </c>
      <c r="D121" s="1" t="s">
        <v>15</v>
      </c>
      <c r="E121">
        <v>42.21</v>
      </c>
      <c r="F121">
        <v>51.59</v>
      </c>
      <c r="G121">
        <v>81.8</v>
      </c>
    </row>
    <row r="122" spans="1:7" x14ac:dyDescent="0.25">
      <c r="A122" s="2">
        <v>43831</v>
      </c>
      <c r="B122">
        <v>2020</v>
      </c>
      <c r="C122">
        <v>1</v>
      </c>
      <c r="D122" s="1" t="s">
        <v>15</v>
      </c>
      <c r="E122">
        <v>35.64</v>
      </c>
      <c r="F122">
        <v>43.69</v>
      </c>
      <c r="G122">
        <v>81.599999999999994</v>
      </c>
    </row>
    <row r="123" spans="1:7" x14ac:dyDescent="0.25">
      <c r="A123" s="2">
        <v>43862</v>
      </c>
      <c r="B123">
        <v>2020</v>
      </c>
      <c r="C123">
        <v>2</v>
      </c>
      <c r="D123" s="1" t="s">
        <v>15</v>
      </c>
      <c r="E123">
        <v>34.700000000000003</v>
      </c>
      <c r="F123">
        <v>42.85</v>
      </c>
      <c r="G123">
        <v>81</v>
      </c>
    </row>
    <row r="124" spans="1:7" x14ac:dyDescent="0.25">
      <c r="A124" s="2">
        <v>43891</v>
      </c>
      <c r="B124">
        <v>2020</v>
      </c>
      <c r="C124">
        <v>3</v>
      </c>
      <c r="D124" s="1" t="s">
        <v>15</v>
      </c>
      <c r="E124">
        <v>5.94</v>
      </c>
      <c r="F124">
        <v>10.79</v>
      </c>
      <c r="G124">
        <v>55</v>
      </c>
    </row>
    <row r="125" spans="1:7" x14ac:dyDescent="0.25">
      <c r="A125" s="2">
        <v>43922</v>
      </c>
      <c r="B125">
        <v>2020</v>
      </c>
      <c r="C125">
        <v>4</v>
      </c>
      <c r="D125" s="1" t="s">
        <v>15</v>
      </c>
      <c r="E125">
        <v>6.33</v>
      </c>
      <c r="F125">
        <v>11.51</v>
      </c>
      <c r="G125">
        <v>55</v>
      </c>
    </row>
    <row r="126" spans="1:7" x14ac:dyDescent="0.25">
      <c r="A126" s="2">
        <v>43952</v>
      </c>
      <c r="B126">
        <v>2020</v>
      </c>
      <c r="C126">
        <v>5</v>
      </c>
      <c r="D126" s="1" t="s">
        <v>15</v>
      </c>
      <c r="E126">
        <v>7.15</v>
      </c>
      <c r="F126">
        <v>13</v>
      </c>
      <c r="G126">
        <v>55</v>
      </c>
    </row>
    <row r="127" spans="1:7" x14ac:dyDescent="0.25">
      <c r="A127" s="2">
        <v>43983</v>
      </c>
      <c r="B127">
        <v>2020</v>
      </c>
      <c r="C127">
        <v>6</v>
      </c>
      <c r="D127" s="1" t="s">
        <v>15</v>
      </c>
      <c r="E127">
        <v>8.2799999999999994</v>
      </c>
      <c r="F127">
        <v>15.06</v>
      </c>
      <c r="G127">
        <v>55</v>
      </c>
    </row>
    <row r="128" spans="1:7" x14ac:dyDescent="0.25">
      <c r="A128" s="2">
        <v>44013</v>
      </c>
      <c r="B128">
        <v>2020</v>
      </c>
      <c r="C128">
        <v>7</v>
      </c>
      <c r="D128" s="1" t="s">
        <v>15</v>
      </c>
      <c r="E128">
        <v>55.13</v>
      </c>
      <c r="F128">
        <v>100.24</v>
      </c>
      <c r="G128">
        <v>55</v>
      </c>
    </row>
    <row r="129" spans="1:7" x14ac:dyDescent="0.25">
      <c r="A129" s="2">
        <v>44044</v>
      </c>
      <c r="B129">
        <v>2020</v>
      </c>
      <c r="C129">
        <v>8</v>
      </c>
      <c r="D129" s="1" t="s">
        <v>15</v>
      </c>
      <c r="E129">
        <v>20.6</v>
      </c>
      <c r="F129">
        <v>37.450000000000003</v>
      </c>
      <c r="G129">
        <v>55</v>
      </c>
    </row>
    <row r="130" spans="1:7" x14ac:dyDescent="0.25">
      <c r="A130" s="2">
        <v>44075</v>
      </c>
      <c r="B130">
        <v>2020</v>
      </c>
      <c r="C130">
        <v>9</v>
      </c>
      <c r="D130" s="1" t="s">
        <v>15</v>
      </c>
      <c r="E130">
        <v>21.56</v>
      </c>
      <c r="F130">
        <v>39.19</v>
      </c>
      <c r="G130">
        <v>55</v>
      </c>
    </row>
    <row r="131" spans="1:7" x14ac:dyDescent="0.25">
      <c r="A131" s="2">
        <v>44105</v>
      </c>
      <c r="B131">
        <v>2020</v>
      </c>
      <c r="C131">
        <v>10</v>
      </c>
      <c r="D131" s="1" t="s">
        <v>15</v>
      </c>
      <c r="E131">
        <v>21.5</v>
      </c>
      <c r="F131">
        <v>39.090000000000003</v>
      </c>
      <c r="G131">
        <v>55</v>
      </c>
    </row>
    <row r="132" spans="1:7" x14ac:dyDescent="0.25">
      <c r="A132" s="2">
        <v>44136</v>
      </c>
      <c r="B132">
        <v>2020</v>
      </c>
      <c r="C132">
        <v>11</v>
      </c>
      <c r="D132" s="1" t="s">
        <v>15</v>
      </c>
      <c r="E132">
        <v>19.670000000000002</v>
      </c>
      <c r="F132">
        <v>35.76</v>
      </c>
      <c r="G132">
        <v>55</v>
      </c>
    </row>
    <row r="133" spans="1:7" x14ac:dyDescent="0.25">
      <c r="A133" s="2">
        <v>44166</v>
      </c>
      <c r="B133">
        <v>2020</v>
      </c>
      <c r="C133">
        <v>12</v>
      </c>
      <c r="D133" s="1" t="s">
        <v>15</v>
      </c>
      <c r="E133">
        <v>18.739999999999998</v>
      </c>
      <c r="F133">
        <v>34.07</v>
      </c>
      <c r="G133">
        <v>55</v>
      </c>
    </row>
    <row r="134" spans="1:7" x14ac:dyDescent="0.25">
      <c r="A134" s="2">
        <v>44197</v>
      </c>
      <c r="B134">
        <v>2021</v>
      </c>
      <c r="C134">
        <v>1</v>
      </c>
      <c r="D134" s="1" t="s">
        <v>15</v>
      </c>
      <c r="E134">
        <v>53.64</v>
      </c>
      <c r="F134">
        <v>62.8</v>
      </c>
      <c r="G134">
        <v>85.4</v>
      </c>
    </row>
    <row r="135" spans="1:7" x14ac:dyDescent="0.25">
      <c r="A135" s="2">
        <v>44228</v>
      </c>
      <c r="B135">
        <v>2021</v>
      </c>
      <c r="C135">
        <v>2</v>
      </c>
      <c r="D135" s="1" t="s">
        <v>15</v>
      </c>
      <c r="E135">
        <v>25.44</v>
      </c>
      <c r="F135">
        <v>31.82</v>
      </c>
      <c r="G135">
        <v>79.900000000000006</v>
      </c>
    </row>
    <row r="136" spans="1:7" x14ac:dyDescent="0.25">
      <c r="A136" s="2">
        <v>44256</v>
      </c>
      <c r="B136">
        <v>2021</v>
      </c>
      <c r="C136">
        <v>3</v>
      </c>
      <c r="D136" s="1" t="s">
        <v>15</v>
      </c>
      <c r="E136">
        <v>25.01</v>
      </c>
      <c r="F136">
        <v>31.41</v>
      </c>
      <c r="G136">
        <v>79.599999999999994</v>
      </c>
    </row>
    <row r="137" spans="1:7" x14ac:dyDescent="0.25">
      <c r="A137" s="2">
        <v>44287</v>
      </c>
      <c r="B137">
        <v>2021</v>
      </c>
      <c r="C137">
        <v>4</v>
      </c>
      <c r="D137" s="1" t="s">
        <v>15</v>
      </c>
      <c r="E137">
        <v>26.58</v>
      </c>
      <c r="F137">
        <v>32.93</v>
      </c>
      <c r="G137">
        <v>80.7</v>
      </c>
    </row>
    <row r="138" spans="1:7" x14ac:dyDescent="0.25">
      <c r="A138" s="2">
        <v>44317</v>
      </c>
      <c r="B138">
        <v>2021</v>
      </c>
      <c r="C138">
        <v>5</v>
      </c>
      <c r="D138" s="1" t="s">
        <v>15</v>
      </c>
      <c r="E138">
        <v>29.21</v>
      </c>
      <c r="F138">
        <v>36.56</v>
      </c>
      <c r="G138">
        <v>79.900000000000006</v>
      </c>
    </row>
    <row r="139" spans="1:7" x14ac:dyDescent="0.25">
      <c r="A139" s="2">
        <v>44348</v>
      </c>
      <c r="B139">
        <v>2021</v>
      </c>
      <c r="C139">
        <v>6</v>
      </c>
      <c r="D139" s="1" t="s">
        <v>15</v>
      </c>
      <c r="E139">
        <v>33.049999999999997</v>
      </c>
      <c r="F139">
        <v>41.54</v>
      </c>
      <c r="G139">
        <v>79.599999999999994</v>
      </c>
    </row>
    <row r="140" spans="1:7" x14ac:dyDescent="0.25">
      <c r="A140" s="2">
        <v>44378</v>
      </c>
      <c r="B140">
        <v>2021</v>
      </c>
      <c r="C140">
        <v>7</v>
      </c>
      <c r="D140" s="1" t="s">
        <v>15</v>
      </c>
      <c r="E140">
        <v>81.41</v>
      </c>
      <c r="F140">
        <v>101.55</v>
      </c>
      <c r="G140">
        <v>80.2</v>
      </c>
    </row>
    <row r="141" spans="1:7" x14ac:dyDescent="0.25">
      <c r="A141" s="2">
        <v>44409</v>
      </c>
      <c r="B141">
        <v>2021</v>
      </c>
      <c r="C141">
        <v>8</v>
      </c>
      <c r="D141" s="1" t="s">
        <v>15</v>
      </c>
      <c r="E141">
        <v>58.45</v>
      </c>
      <c r="F141">
        <v>72.08</v>
      </c>
      <c r="G141">
        <v>81.099999999999994</v>
      </c>
    </row>
    <row r="142" spans="1:7" x14ac:dyDescent="0.25">
      <c r="A142" s="2">
        <v>44440</v>
      </c>
      <c r="B142">
        <v>2021</v>
      </c>
      <c r="C142">
        <v>9</v>
      </c>
      <c r="D142" s="1" t="s">
        <v>15</v>
      </c>
      <c r="E142">
        <v>54.1</v>
      </c>
      <c r="F142">
        <v>68.13</v>
      </c>
      <c r="G142">
        <v>79.400000000000006</v>
      </c>
    </row>
    <row r="143" spans="1:7" x14ac:dyDescent="0.25">
      <c r="A143" s="2">
        <v>44470</v>
      </c>
      <c r="B143">
        <v>2021</v>
      </c>
      <c r="C143">
        <v>10</v>
      </c>
      <c r="D143" s="1" t="s">
        <v>15</v>
      </c>
      <c r="E143">
        <v>55.25</v>
      </c>
      <c r="F143">
        <v>65.59</v>
      </c>
      <c r="G143">
        <v>84.2</v>
      </c>
    </row>
    <row r="144" spans="1:7" x14ac:dyDescent="0.25">
      <c r="A144" s="2">
        <v>44501</v>
      </c>
      <c r="B144">
        <v>2021</v>
      </c>
      <c r="C144">
        <v>11</v>
      </c>
      <c r="D144" s="1" t="s">
        <v>15</v>
      </c>
      <c r="E144">
        <v>50.33</v>
      </c>
      <c r="F144">
        <v>63.47</v>
      </c>
      <c r="G144">
        <v>79.3</v>
      </c>
    </row>
    <row r="145" spans="1:7" x14ac:dyDescent="0.25">
      <c r="A145" s="2">
        <v>44531</v>
      </c>
      <c r="B145">
        <v>2021</v>
      </c>
      <c r="C145">
        <v>12</v>
      </c>
      <c r="D145" s="1" t="s">
        <v>15</v>
      </c>
      <c r="E145">
        <v>47.42</v>
      </c>
      <c r="F145">
        <v>59.46</v>
      </c>
      <c r="G145">
        <v>79.8</v>
      </c>
    </row>
    <row r="146" spans="1:7" x14ac:dyDescent="0.25">
      <c r="A146" s="2">
        <v>44562</v>
      </c>
      <c r="B146">
        <v>2022</v>
      </c>
      <c r="C146">
        <v>1</v>
      </c>
      <c r="D146" s="1" t="s">
        <v>15</v>
      </c>
      <c r="E146">
        <v>72.73</v>
      </c>
      <c r="F146">
        <v>86.98</v>
      </c>
      <c r="G146">
        <v>83.6</v>
      </c>
    </row>
    <row r="147" spans="1:7" x14ac:dyDescent="0.25">
      <c r="A147" s="2">
        <v>44593</v>
      </c>
      <c r="B147">
        <v>2022</v>
      </c>
      <c r="C147">
        <v>2</v>
      </c>
      <c r="D147" s="1" t="s">
        <v>15</v>
      </c>
      <c r="E147">
        <v>68.760000000000005</v>
      </c>
      <c r="F147">
        <v>89.16</v>
      </c>
      <c r="G147">
        <v>77.099999999999994</v>
      </c>
    </row>
    <row r="148" spans="1:7" x14ac:dyDescent="0.25">
      <c r="A148" s="2">
        <v>44621</v>
      </c>
      <c r="B148">
        <v>2022</v>
      </c>
      <c r="C148">
        <v>3</v>
      </c>
      <c r="D148" s="1" t="s">
        <v>15</v>
      </c>
      <c r="E148">
        <v>68.709999999999994</v>
      </c>
      <c r="F148">
        <v>82.41</v>
      </c>
      <c r="G148">
        <v>83.4</v>
      </c>
    </row>
    <row r="149" spans="1:7" x14ac:dyDescent="0.25">
      <c r="A149" s="2">
        <v>44652</v>
      </c>
      <c r="B149">
        <v>2022</v>
      </c>
      <c r="C149">
        <v>4</v>
      </c>
      <c r="D149" s="1" t="s">
        <v>15</v>
      </c>
      <c r="E149">
        <v>78.66</v>
      </c>
      <c r="F149">
        <v>93.4</v>
      </c>
      <c r="G149">
        <v>84.2</v>
      </c>
    </row>
    <row r="150" spans="1:7" x14ac:dyDescent="0.25">
      <c r="A150" s="2">
        <v>44682</v>
      </c>
      <c r="B150">
        <v>2022</v>
      </c>
      <c r="C150">
        <v>5</v>
      </c>
      <c r="D150" s="1" t="s">
        <v>15</v>
      </c>
      <c r="E150">
        <v>78.81</v>
      </c>
      <c r="F150">
        <v>95.41</v>
      </c>
      <c r="G150">
        <v>82.6</v>
      </c>
    </row>
    <row r="151" spans="1:7" x14ac:dyDescent="0.25">
      <c r="A151" s="2">
        <v>44713</v>
      </c>
      <c r="B151">
        <v>2022</v>
      </c>
      <c r="C151">
        <v>6</v>
      </c>
      <c r="D151" s="1" t="s">
        <v>15</v>
      </c>
      <c r="E151">
        <v>92.35</v>
      </c>
      <c r="F151">
        <v>117.37</v>
      </c>
      <c r="G151">
        <v>78.7</v>
      </c>
    </row>
    <row r="152" spans="1:7" x14ac:dyDescent="0.25">
      <c r="A152" s="2">
        <v>44743</v>
      </c>
      <c r="B152">
        <v>2022</v>
      </c>
      <c r="C152">
        <v>7</v>
      </c>
      <c r="D152" s="1" t="s">
        <v>15</v>
      </c>
      <c r="E152">
        <v>94.89</v>
      </c>
      <c r="F152">
        <v>114.95</v>
      </c>
      <c r="G152">
        <v>82.5</v>
      </c>
    </row>
    <row r="153" spans="1:7" x14ac:dyDescent="0.25">
      <c r="A153" s="2">
        <v>44774</v>
      </c>
      <c r="B153">
        <v>2022</v>
      </c>
      <c r="C153">
        <v>8</v>
      </c>
      <c r="D153" s="1" t="s">
        <v>15</v>
      </c>
      <c r="E153">
        <v>96.49</v>
      </c>
      <c r="F153">
        <v>123.24</v>
      </c>
      <c r="G153">
        <v>78.3</v>
      </c>
    </row>
    <row r="154" spans="1:7" x14ac:dyDescent="0.25">
      <c r="A154" s="2">
        <v>44805</v>
      </c>
      <c r="B154">
        <v>2022</v>
      </c>
      <c r="C154">
        <v>9</v>
      </c>
      <c r="D154" s="1" t="s">
        <v>15</v>
      </c>
      <c r="E154">
        <v>95.48</v>
      </c>
      <c r="F154">
        <v>117.38</v>
      </c>
      <c r="G154">
        <v>81.3</v>
      </c>
    </row>
    <row r="155" spans="1:7" x14ac:dyDescent="0.25">
      <c r="A155" s="2">
        <v>44835</v>
      </c>
      <c r="B155">
        <v>2022</v>
      </c>
      <c r="C155">
        <v>10</v>
      </c>
      <c r="D155" s="1" t="s">
        <v>15</v>
      </c>
      <c r="E155">
        <v>92.04</v>
      </c>
      <c r="F155">
        <v>113.81</v>
      </c>
      <c r="G155">
        <v>80.900000000000006</v>
      </c>
    </row>
    <row r="156" spans="1:7" x14ac:dyDescent="0.25">
      <c r="A156" s="2">
        <v>44866</v>
      </c>
      <c r="B156">
        <v>2022</v>
      </c>
      <c r="C156">
        <v>11</v>
      </c>
      <c r="D156" s="1" t="s">
        <v>15</v>
      </c>
      <c r="E156">
        <v>85.52</v>
      </c>
      <c r="F156">
        <v>104.4</v>
      </c>
      <c r="G156">
        <v>81.900000000000006</v>
      </c>
    </row>
    <row r="157" spans="1:7" x14ac:dyDescent="0.25">
      <c r="A157" s="2">
        <v>44896</v>
      </c>
      <c r="B157">
        <v>2022</v>
      </c>
      <c r="C157">
        <v>12</v>
      </c>
      <c r="D157" s="1" t="s">
        <v>15</v>
      </c>
      <c r="E157">
        <v>81.86</v>
      </c>
      <c r="F157">
        <v>100.58</v>
      </c>
      <c r="G157">
        <v>81.400000000000006</v>
      </c>
    </row>
    <row r="158" spans="1:7" x14ac:dyDescent="0.25">
      <c r="A158" s="2">
        <v>44927</v>
      </c>
      <c r="B158">
        <v>2023</v>
      </c>
      <c r="C158">
        <v>1</v>
      </c>
      <c r="D158" s="1" t="s">
        <v>15</v>
      </c>
      <c r="E158">
        <v>75.63</v>
      </c>
      <c r="F158">
        <v>92.03</v>
      </c>
      <c r="G158">
        <v>82.2</v>
      </c>
    </row>
    <row r="159" spans="1:7" x14ac:dyDescent="0.25">
      <c r="A159" s="2">
        <v>44958</v>
      </c>
      <c r="B159">
        <v>2023</v>
      </c>
      <c r="C159">
        <v>2</v>
      </c>
      <c r="D159" s="1" t="s">
        <v>15</v>
      </c>
      <c r="E159">
        <v>71.150000000000006</v>
      </c>
      <c r="F159">
        <v>85.77</v>
      </c>
      <c r="G159">
        <v>83</v>
      </c>
    </row>
    <row r="160" spans="1:7" x14ac:dyDescent="0.25">
      <c r="A160" s="2">
        <v>44986</v>
      </c>
      <c r="B160">
        <v>2023</v>
      </c>
      <c r="C160">
        <v>3</v>
      </c>
      <c r="D160" s="1" t="s">
        <v>15</v>
      </c>
      <c r="E160">
        <v>77.73</v>
      </c>
      <c r="F160">
        <v>94.7</v>
      </c>
      <c r="G160">
        <v>82.1</v>
      </c>
    </row>
    <row r="161" spans="1:7" x14ac:dyDescent="0.25">
      <c r="A161" s="2">
        <v>45017</v>
      </c>
      <c r="B161">
        <v>2023</v>
      </c>
      <c r="C161">
        <v>4</v>
      </c>
      <c r="D161" s="1" t="s">
        <v>15</v>
      </c>
      <c r="E161">
        <v>85.68</v>
      </c>
      <c r="F161">
        <v>109.72</v>
      </c>
      <c r="G161">
        <v>78.099999999999994</v>
      </c>
    </row>
    <row r="162" spans="1:7" x14ac:dyDescent="0.25">
      <c r="A162" s="2">
        <v>45047</v>
      </c>
      <c r="B162">
        <v>2023</v>
      </c>
      <c r="C162">
        <v>5</v>
      </c>
      <c r="D162" s="1" t="s">
        <v>15</v>
      </c>
      <c r="E162">
        <v>85.45</v>
      </c>
      <c r="F162">
        <v>103.52</v>
      </c>
      <c r="G162">
        <v>82.5</v>
      </c>
    </row>
    <row r="163" spans="1:7" x14ac:dyDescent="0.25">
      <c r="A163" s="2">
        <v>45078</v>
      </c>
      <c r="B163">
        <v>2023</v>
      </c>
      <c r="C163">
        <v>6</v>
      </c>
      <c r="D163" s="1" t="s">
        <v>15</v>
      </c>
      <c r="E163">
        <v>98.16</v>
      </c>
      <c r="F163">
        <v>119.22</v>
      </c>
      <c r="G163">
        <v>82.3</v>
      </c>
    </row>
    <row r="164" spans="1:7" x14ac:dyDescent="0.25">
      <c r="A164" s="2">
        <v>45108</v>
      </c>
      <c r="B164">
        <v>2023</v>
      </c>
      <c r="C164">
        <v>7</v>
      </c>
      <c r="D164" s="1" t="s">
        <v>15</v>
      </c>
      <c r="E164">
        <v>102.52</v>
      </c>
      <c r="F164">
        <v>123.03</v>
      </c>
      <c r="G164">
        <v>83.3</v>
      </c>
    </row>
    <row r="165" spans="1:7" x14ac:dyDescent="0.25">
      <c r="A165" s="2">
        <v>45139</v>
      </c>
      <c r="B165">
        <v>2023</v>
      </c>
      <c r="C165">
        <v>8</v>
      </c>
      <c r="D165" s="1" t="s">
        <v>15</v>
      </c>
      <c r="E165">
        <v>109.59</v>
      </c>
      <c r="F165">
        <v>132.09</v>
      </c>
      <c r="G165">
        <v>83</v>
      </c>
    </row>
    <row r="166" spans="1:7" x14ac:dyDescent="0.25">
      <c r="A166" s="2">
        <v>45170</v>
      </c>
      <c r="B166">
        <v>2023</v>
      </c>
      <c r="C166">
        <v>9</v>
      </c>
      <c r="D166" s="1" t="s">
        <v>15</v>
      </c>
      <c r="E166">
        <v>104.64</v>
      </c>
      <c r="F166">
        <v>134.52000000000001</v>
      </c>
      <c r="G166">
        <v>77.8</v>
      </c>
    </row>
    <row r="167" spans="1:7" x14ac:dyDescent="0.25">
      <c r="A167" s="2">
        <v>45200</v>
      </c>
      <c r="B167">
        <v>2023</v>
      </c>
      <c r="C167">
        <v>10</v>
      </c>
      <c r="D167" s="1" t="s">
        <v>15</v>
      </c>
      <c r="E167">
        <v>103.41</v>
      </c>
      <c r="F167">
        <v>122.46</v>
      </c>
      <c r="G167">
        <v>84.4</v>
      </c>
    </row>
    <row r="168" spans="1:7" x14ac:dyDescent="0.25">
      <c r="A168" s="2">
        <v>45231</v>
      </c>
      <c r="B168">
        <v>2023</v>
      </c>
      <c r="C168">
        <v>11</v>
      </c>
      <c r="D168" s="1" t="s">
        <v>15</v>
      </c>
      <c r="E168">
        <v>96.52</v>
      </c>
      <c r="F168">
        <v>120.28</v>
      </c>
      <c r="G168">
        <v>80.2</v>
      </c>
    </row>
    <row r="169" spans="1:7" x14ac:dyDescent="0.25">
      <c r="A169" s="2">
        <v>45261</v>
      </c>
      <c r="B169">
        <v>2023</v>
      </c>
      <c r="C169">
        <v>12</v>
      </c>
      <c r="D169" s="1" t="s">
        <v>15</v>
      </c>
      <c r="E169">
        <v>89.98</v>
      </c>
      <c r="F169">
        <v>107.48</v>
      </c>
      <c r="G169">
        <v>83.7</v>
      </c>
    </row>
    <row r="170" spans="1:7" x14ac:dyDescent="0.25">
      <c r="A170" s="2">
        <v>45292</v>
      </c>
      <c r="B170">
        <v>2024</v>
      </c>
      <c r="C170">
        <v>1</v>
      </c>
      <c r="D170" s="1" t="s">
        <v>15</v>
      </c>
      <c r="E170">
        <v>87.53</v>
      </c>
      <c r="F170">
        <v>109.07</v>
      </c>
      <c r="G170">
        <v>80.2</v>
      </c>
    </row>
    <row r="171" spans="1:7" x14ac:dyDescent="0.25">
      <c r="A171" s="2">
        <v>45323</v>
      </c>
      <c r="B171">
        <v>2024</v>
      </c>
      <c r="C171">
        <v>2</v>
      </c>
      <c r="D171" s="1" t="s">
        <v>15</v>
      </c>
      <c r="E171">
        <v>81.260000000000005</v>
      </c>
      <c r="F171">
        <v>97.32</v>
      </c>
      <c r="G171">
        <v>83.5</v>
      </c>
    </row>
    <row r="172" spans="1:7" x14ac:dyDescent="0.25">
      <c r="A172" s="2">
        <v>45352</v>
      </c>
      <c r="B172">
        <v>2024</v>
      </c>
      <c r="C172">
        <v>3</v>
      </c>
      <c r="D172" s="1" t="s">
        <v>15</v>
      </c>
      <c r="E172">
        <v>84.11</v>
      </c>
      <c r="F172">
        <v>105.45</v>
      </c>
      <c r="G172">
        <v>79.8</v>
      </c>
    </row>
    <row r="173" spans="1:7" x14ac:dyDescent="0.25">
      <c r="A173" s="2">
        <v>45383</v>
      </c>
      <c r="B173">
        <v>2024</v>
      </c>
      <c r="C173">
        <v>4</v>
      </c>
      <c r="D173" s="1" t="s">
        <v>15</v>
      </c>
      <c r="E173">
        <v>90.61</v>
      </c>
      <c r="F173">
        <v>108.97</v>
      </c>
      <c r="G173">
        <v>83.2</v>
      </c>
    </row>
    <row r="174" spans="1:7" x14ac:dyDescent="0.25">
      <c r="A174" s="2">
        <v>45413</v>
      </c>
      <c r="B174">
        <v>2024</v>
      </c>
      <c r="C174">
        <v>5</v>
      </c>
      <c r="D174" s="1" t="s">
        <v>15</v>
      </c>
      <c r="E174">
        <v>97.26</v>
      </c>
      <c r="F174">
        <v>117.97</v>
      </c>
      <c r="G174">
        <v>82.4</v>
      </c>
    </row>
    <row r="175" spans="1:7" x14ac:dyDescent="0.25">
      <c r="A175" s="2">
        <v>45444</v>
      </c>
      <c r="B175">
        <v>2024</v>
      </c>
      <c r="C175">
        <v>6</v>
      </c>
      <c r="D175" s="1" t="s">
        <v>15</v>
      </c>
      <c r="E175">
        <v>103.74</v>
      </c>
      <c r="F175">
        <v>122.1</v>
      </c>
      <c r="G175">
        <v>85</v>
      </c>
    </row>
    <row r="176" spans="1:7" x14ac:dyDescent="0.25">
      <c r="A176" s="2">
        <v>45474</v>
      </c>
      <c r="B176">
        <v>2024</v>
      </c>
      <c r="C176">
        <v>7</v>
      </c>
      <c r="D176" s="1" t="s">
        <v>15</v>
      </c>
      <c r="E176">
        <v>107.23</v>
      </c>
      <c r="F176">
        <v>132.66999999999999</v>
      </c>
      <c r="G176">
        <v>80.8</v>
      </c>
    </row>
    <row r="177" spans="1:7" x14ac:dyDescent="0.25">
      <c r="A177" s="2">
        <v>45505</v>
      </c>
      <c r="B177">
        <v>2024</v>
      </c>
      <c r="C177">
        <v>8</v>
      </c>
      <c r="D177" s="1" t="s">
        <v>15</v>
      </c>
      <c r="E177">
        <v>112.45</v>
      </c>
      <c r="F177">
        <v>134.26</v>
      </c>
      <c r="G177">
        <v>83.8</v>
      </c>
    </row>
    <row r="178" spans="1:7" x14ac:dyDescent="0.25">
      <c r="A178" s="2">
        <v>45536</v>
      </c>
      <c r="B178">
        <v>2024</v>
      </c>
      <c r="C178">
        <v>9</v>
      </c>
      <c r="D178" s="1" t="s">
        <v>15</v>
      </c>
      <c r="E178">
        <v>105.87</v>
      </c>
      <c r="F178">
        <v>133.37</v>
      </c>
      <c r="G178">
        <v>79.400000000000006</v>
      </c>
    </row>
    <row r="179" spans="1:7" x14ac:dyDescent="0.25">
      <c r="A179" s="2">
        <v>45566</v>
      </c>
      <c r="B179">
        <v>2024</v>
      </c>
      <c r="C179">
        <v>10</v>
      </c>
      <c r="D179" s="1" t="s">
        <v>15</v>
      </c>
      <c r="E179">
        <v>99.36</v>
      </c>
      <c r="F179">
        <v>121.07</v>
      </c>
      <c r="G179">
        <v>82.1</v>
      </c>
    </row>
    <row r="180" spans="1:7" x14ac:dyDescent="0.25">
      <c r="A180" s="2">
        <v>45597</v>
      </c>
      <c r="B180">
        <v>2024</v>
      </c>
      <c r="C180">
        <v>11</v>
      </c>
      <c r="D180" s="1" t="s">
        <v>15</v>
      </c>
      <c r="E180">
        <v>95.25</v>
      </c>
      <c r="F180">
        <v>117.26</v>
      </c>
      <c r="G180">
        <v>81.2</v>
      </c>
    </row>
    <row r="181" spans="1:7" x14ac:dyDescent="0.25">
      <c r="A181" s="2">
        <v>45627</v>
      </c>
      <c r="B181">
        <v>2024</v>
      </c>
      <c r="C181">
        <v>12</v>
      </c>
      <c r="D181" s="1" t="s">
        <v>15</v>
      </c>
      <c r="E181">
        <v>93.17</v>
      </c>
      <c r="F181">
        <v>115.43</v>
      </c>
      <c r="G181">
        <v>80.7</v>
      </c>
    </row>
    <row r="182" spans="1:7" x14ac:dyDescent="0.25">
      <c r="A182" s="2">
        <v>45658</v>
      </c>
      <c r="B182">
        <v>2025</v>
      </c>
      <c r="C182">
        <v>1</v>
      </c>
      <c r="D182" s="1" t="s">
        <v>15</v>
      </c>
      <c r="E182">
        <v>86.74</v>
      </c>
      <c r="F182">
        <v>106.56</v>
      </c>
      <c r="G182">
        <v>81.400000000000006</v>
      </c>
    </row>
    <row r="183" spans="1:7" x14ac:dyDescent="0.25">
      <c r="A183" s="2">
        <v>45689</v>
      </c>
      <c r="B183">
        <v>2025</v>
      </c>
      <c r="C183">
        <v>2</v>
      </c>
      <c r="D183" s="1" t="s">
        <v>15</v>
      </c>
      <c r="E183">
        <v>86.08</v>
      </c>
      <c r="F183">
        <v>103.77</v>
      </c>
      <c r="G183">
        <v>83</v>
      </c>
    </row>
    <row r="184" spans="1:7" x14ac:dyDescent="0.25">
      <c r="A184" s="2">
        <v>45717</v>
      </c>
      <c r="B184">
        <v>2025</v>
      </c>
      <c r="C184">
        <v>3</v>
      </c>
      <c r="D184" s="1" t="s">
        <v>15</v>
      </c>
      <c r="E184">
        <v>84.8</v>
      </c>
      <c r="F184">
        <v>103.84</v>
      </c>
      <c r="G184">
        <v>81.7</v>
      </c>
    </row>
    <row r="185" spans="1:7" x14ac:dyDescent="0.25">
      <c r="A185" s="2">
        <v>45748</v>
      </c>
      <c r="B185">
        <v>2025</v>
      </c>
      <c r="C185">
        <v>4</v>
      </c>
      <c r="D185" s="1" t="s">
        <v>15</v>
      </c>
      <c r="E185">
        <v>95.2</v>
      </c>
      <c r="F185">
        <v>115</v>
      </c>
      <c r="G185">
        <v>82.8</v>
      </c>
    </row>
    <row r="186" spans="1:7" x14ac:dyDescent="0.25">
      <c r="A186" s="2">
        <v>45778</v>
      </c>
      <c r="B186">
        <v>2025</v>
      </c>
      <c r="C186">
        <v>5</v>
      </c>
      <c r="D186" s="1" t="s">
        <v>15</v>
      </c>
      <c r="E186">
        <v>95.9</v>
      </c>
      <c r="F186">
        <v>115.11</v>
      </c>
      <c r="G186">
        <v>83.3</v>
      </c>
    </row>
    <row r="187" spans="1:7" x14ac:dyDescent="0.25">
      <c r="A187" s="2">
        <v>45809</v>
      </c>
      <c r="B187">
        <v>2025</v>
      </c>
      <c r="C187">
        <v>6</v>
      </c>
      <c r="D187" s="1" t="s">
        <v>15</v>
      </c>
      <c r="E187">
        <v>104.32</v>
      </c>
      <c r="F187">
        <v>122.98</v>
      </c>
      <c r="G187">
        <v>84.8</v>
      </c>
    </row>
    <row r="188" spans="1:7" x14ac:dyDescent="0.25">
      <c r="A188" s="2">
        <v>45839</v>
      </c>
      <c r="B188">
        <v>2025</v>
      </c>
      <c r="C188">
        <v>7</v>
      </c>
      <c r="D188" s="1" t="s">
        <v>15</v>
      </c>
      <c r="E188">
        <v>117.1</v>
      </c>
      <c r="F188">
        <v>141.80000000000001</v>
      </c>
      <c r="G188">
        <v>82.6</v>
      </c>
    </row>
    <row r="189" spans="1:7" x14ac:dyDescent="0.25">
      <c r="A189" s="2">
        <v>45870</v>
      </c>
      <c r="B189">
        <v>2025</v>
      </c>
      <c r="C189">
        <v>8</v>
      </c>
      <c r="D189" s="1" t="s">
        <v>15</v>
      </c>
      <c r="E189">
        <v>116.41</v>
      </c>
      <c r="F189">
        <v>142.69</v>
      </c>
      <c r="G189">
        <v>81.599999999999994</v>
      </c>
    </row>
    <row r="190" spans="1:7" x14ac:dyDescent="0.25">
      <c r="A190" s="2">
        <v>45901</v>
      </c>
      <c r="B190">
        <v>2025</v>
      </c>
      <c r="C190">
        <v>9</v>
      </c>
      <c r="D190" s="1" t="s">
        <v>15</v>
      </c>
      <c r="E190">
        <v>116.47</v>
      </c>
      <c r="F190">
        <v>143.33000000000001</v>
      </c>
      <c r="G190">
        <v>81.3</v>
      </c>
    </row>
    <row r="191" spans="1:7" x14ac:dyDescent="0.25">
      <c r="A191" s="2">
        <v>45931</v>
      </c>
      <c r="B191">
        <v>2025</v>
      </c>
      <c r="C191">
        <v>10</v>
      </c>
      <c r="D191" s="1" t="s">
        <v>15</v>
      </c>
      <c r="E191">
        <v>109.62</v>
      </c>
      <c r="F191">
        <v>130.88999999999999</v>
      </c>
      <c r="G191">
        <v>83.7</v>
      </c>
    </row>
    <row r="192" spans="1:7" x14ac:dyDescent="0.25">
      <c r="A192" s="2">
        <v>45962</v>
      </c>
      <c r="B192">
        <v>2025</v>
      </c>
      <c r="C192">
        <v>11</v>
      </c>
      <c r="D192" s="1" t="s">
        <v>15</v>
      </c>
      <c r="E192">
        <v>99.8</v>
      </c>
      <c r="F192">
        <v>123.57</v>
      </c>
      <c r="G192">
        <v>80.8</v>
      </c>
    </row>
    <row r="193" spans="1:7" x14ac:dyDescent="0.25">
      <c r="A193" s="2">
        <v>45992</v>
      </c>
      <c r="B193">
        <v>2025</v>
      </c>
      <c r="C193">
        <v>12</v>
      </c>
      <c r="D193" s="1" t="s">
        <v>15</v>
      </c>
      <c r="E193">
        <v>90.81</v>
      </c>
      <c r="F193">
        <v>113.69</v>
      </c>
      <c r="G193">
        <v>79.900000000000006</v>
      </c>
    </row>
    <row r="194" spans="1:7" x14ac:dyDescent="0.25">
      <c r="A194" s="2">
        <v>46023</v>
      </c>
      <c r="B194">
        <v>2026</v>
      </c>
      <c r="C194">
        <v>1</v>
      </c>
      <c r="D194" s="1" t="s">
        <v>15</v>
      </c>
      <c r="E194">
        <v>84.01</v>
      </c>
      <c r="F194">
        <v>100.66</v>
      </c>
      <c r="G194">
        <v>83.5</v>
      </c>
    </row>
    <row r="195" spans="1:7" x14ac:dyDescent="0.25">
      <c r="A195" s="2">
        <v>46054</v>
      </c>
      <c r="B195">
        <v>2026</v>
      </c>
      <c r="C195">
        <v>2</v>
      </c>
      <c r="D195" s="1" t="s">
        <v>15</v>
      </c>
      <c r="E195">
        <v>91.53</v>
      </c>
      <c r="F195">
        <v>107.88</v>
      </c>
      <c r="G195">
        <v>84.9</v>
      </c>
    </row>
    <row r="196" spans="1:7" x14ac:dyDescent="0.25">
      <c r="A196" s="2">
        <v>46082</v>
      </c>
      <c r="B196">
        <v>2026</v>
      </c>
      <c r="C196">
        <v>3</v>
      </c>
      <c r="D196" s="1" t="s">
        <v>15</v>
      </c>
      <c r="E196">
        <v>84.52</v>
      </c>
      <c r="F196">
        <v>101.29</v>
      </c>
      <c r="G196">
        <v>83.4</v>
      </c>
    </row>
    <row r="197" spans="1:7" x14ac:dyDescent="0.25">
      <c r="A197" s="2">
        <v>46113</v>
      </c>
      <c r="B197">
        <v>2026</v>
      </c>
      <c r="C197">
        <v>4</v>
      </c>
      <c r="D197" s="1" t="s">
        <v>15</v>
      </c>
      <c r="E197">
        <v>98.46</v>
      </c>
      <c r="F197">
        <v>121.43</v>
      </c>
      <c r="G197">
        <v>81.099999999999994</v>
      </c>
    </row>
    <row r="198" spans="1:7" x14ac:dyDescent="0.25">
      <c r="A198" s="2">
        <v>40179</v>
      </c>
      <c r="B198">
        <v>2010</v>
      </c>
      <c r="C198">
        <v>1</v>
      </c>
      <c r="D198" s="1" t="s">
        <v>32</v>
      </c>
      <c r="E198">
        <v>68.069999999999993</v>
      </c>
      <c r="F198">
        <v>87.29</v>
      </c>
      <c r="G198">
        <v>78</v>
      </c>
    </row>
    <row r="199" spans="1:7" x14ac:dyDescent="0.25">
      <c r="A199" s="2">
        <v>40210</v>
      </c>
      <c r="B199">
        <v>2010</v>
      </c>
      <c r="C199">
        <v>2</v>
      </c>
      <c r="D199" s="1" t="s">
        <v>32</v>
      </c>
      <c r="E199">
        <v>67.150000000000006</v>
      </c>
      <c r="F199">
        <v>84.07</v>
      </c>
      <c r="G199">
        <v>79.900000000000006</v>
      </c>
    </row>
    <row r="200" spans="1:7" x14ac:dyDescent="0.25">
      <c r="A200" s="2">
        <v>40238</v>
      </c>
      <c r="B200">
        <v>2010</v>
      </c>
      <c r="C200">
        <v>3</v>
      </c>
      <c r="D200" s="1" t="s">
        <v>32</v>
      </c>
      <c r="E200">
        <v>68.92</v>
      </c>
      <c r="F200">
        <v>87.37</v>
      </c>
      <c r="G200">
        <v>78.900000000000006</v>
      </c>
    </row>
    <row r="201" spans="1:7" x14ac:dyDescent="0.25">
      <c r="A201" s="2">
        <v>40269</v>
      </c>
      <c r="B201">
        <v>2010</v>
      </c>
      <c r="C201">
        <v>4</v>
      </c>
      <c r="D201" s="1" t="s">
        <v>32</v>
      </c>
      <c r="E201">
        <v>74.37</v>
      </c>
      <c r="F201">
        <v>88.48</v>
      </c>
      <c r="G201">
        <v>84</v>
      </c>
    </row>
    <row r="202" spans="1:7" x14ac:dyDescent="0.25">
      <c r="A202" s="2">
        <v>40299</v>
      </c>
      <c r="B202">
        <v>2010</v>
      </c>
      <c r="C202">
        <v>5</v>
      </c>
      <c r="D202" s="1" t="s">
        <v>32</v>
      </c>
      <c r="E202">
        <v>77.62</v>
      </c>
      <c r="F202">
        <v>97.36</v>
      </c>
      <c r="G202">
        <v>79.7</v>
      </c>
    </row>
    <row r="203" spans="1:7" x14ac:dyDescent="0.25">
      <c r="A203" s="2">
        <v>40330</v>
      </c>
      <c r="B203">
        <v>2010</v>
      </c>
      <c r="C203">
        <v>6</v>
      </c>
      <c r="D203" s="1" t="s">
        <v>32</v>
      </c>
      <c r="E203">
        <v>80.45</v>
      </c>
      <c r="F203">
        <v>98.75</v>
      </c>
      <c r="G203">
        <v>81.5</v>
      </c>
    </row>
    <row r="204" spans="1:7" x14ac:dyDescent="0.25">
      <c r="A204" s="2">
        <v>40360</v>
      </c>
      <c r="B204">
        <v>2010</v>
      </c>
      <c r="C204">
        <v>7</v>
      </c>
      <c r="D204" s="1" t="s">
        <v>32</v>
      </c>
      <c r="E204">
        <v>89.05</v>
      </c>
      <c r="F204">
        <v>112.87</v>
      </c>
      <c r="G204">
        <v>78.900000000000006</v>
      </c>
    </row>
    <row r="205" spans="1:7" x14ac:dyDescent="0.25">
      <c r="A205" s="2">
        <v>40391</v>
      </c>
      <c r="B205">
        <v>2010</v>
      </c>
      <c r="C205">
        <v>8</v>
      </c>
      <c r="D205" s="1" t="s">
        <v>32</v>
      </c>
      <c r="E205">
        <v>93.92</v>
      </c>
      <c r="F205">
        <v>115.81</v>
      </c>
      <c r="G205">
        <v>81.099999999999994</v>
      </c>
    </row>
    <row r="206" spans="1:7" x14ac:dyDescent="0.25">
      <c r="A206" s="2">
        <v>40422</v>
      </c>
      <c r="B206">
        <v>2010</v>
      </c>
      <c r="C206">
        <v>9</v>
      </c>
      <c r="D206" s="1" t="s">
        <v>32</v>
      </c>
      <c r="E206">
        <v>88.54</v>
      </c>
      <c r="F206">
        <v>109.46</v>
      </c>
      <c r="G206">
        <v>80.900000000000006</v>
      </c>
    </row>
    <row r="207" spans="1:7" x14ac:dyDescent="0.25">
      <c r="A207" s="2">
        <v>40452</v>
      </c>
      <c r="B207">
        <v>2010</v>
      </c>
      <c r="C207">
        <v>10</v>
      </c>
      <c r="D207" s="1" t="s">
        <v>32</v>
      </c>
      <c r="E207">
        <v>90.25</v>
      </c>
      <c r="F207">
        <v>108.47</v>
      </c>
      <c r="G207">
        <v>83.2</v>
      </c>
    </row>
    <row r="208" spans="1:7" x14ac:dyDescent="0.25">
      <c r="A208" s="2">
        <v>40483</v>
      </c>
      <c r="B208">
        <v>2010</v>
      </c>
      <c r="C208">
        <v>11</v>
      </c>
      <c r="D208" s="1" t="s">
        <v>32</v>
      </c>
      <c r="E208">
        <v>81.349999999999994</v>
      </c>
      <c r="F208">
        <v>97.73</v>
      </c>
      <c r="G208">
        <v>83.2</v>
      </c>
    </row>
    <row r="209" spans="1:7" x14ac:dyDescent="0.25">
      <c r="A209" s="2">
        <v>40513</v>
      </c>
      <c r="B209">
        <v>2010</v>
      </c>
      <c r="C209">
        <v>12</v>
      </c>
      <c r="D209" s="1" t="s">
        <v>32</v>
      </c>
      <c r="E209">
        <v>73.28</v>
      </c>
      <c r="F209">
        <v>89.3</v>
      </c>
      <c r="G209">
        <v>82.1</v>
      </c>
    </row>
    <row r="210" spans="1:7" x14ac:dyDescent="0.25">
      <c r="A210" s="2">
        <v>40544</v>
      </c>
      <c r="B210">
        <v>2011</v>
      </c>
      <c r="C210">
        <v>1</v>
      </c>
      <c r="D210" s="1" t="s">
        <v>32</v>
      </c>
      <c r="E210">
        <v>72.010000000000005</v>
      </c>
      <c r="F210">
        <v>88.84</v>
      </c>
      <c r="G210">
        <v>81.099999999999994</v>
      </c>
    </row>
    <row r="211" spans="1:7" x14ac:dyDescent="0.25">
      <c r="A211" s="2">
        <v>40575</v>
      </c>
      <c r="B211">
        <v>2011</v>
      </c>
      <c r="C211">
        <v>2</v>
      </c>
      <c r="D211" s="1" t="s">
        <v>32</v>
      </c>
      <c r="E211">
        <v>71.28</v>
      </c>
      <c r="F211">
        <v>88.61</v>
      </c>
      <c r="G211">
        <v>80.400000000000006</v>
      </c>
    </row>
    <row r="212" spans="1:7" x14ac:dyDescent="0.25">
      <c r="A212" s="2">
        <v>40603</v>
      </c>
      <c r="B212">
        <v>2011</v>
      </c>
      <c r="C212">
        <v>3</v>
      </c>
      <c r="D212" s="1" t="s">
        <v>32</v>
      </c>
      <c r="E212">
        <v>73.45</v>
      </c>
      <c r="F212">
        <v>88.38</v>
      </c>
      <c r="G212">
        <v>83.1</v>
      </c>
    </row>
    <row r="213" spans="1:7" x14ac:dyDescent="0.25">
      <c r="A213" s="2">
        <v>40634</v>
      </c>
      <c r="B213">
        <v>2011</v>
      </c>
      <c r="C213">
        <v>4</v>
      </c>
      <c r="D213" s="1" t="s">
        <v>32</v>
      </c>
      <c r="E213">
        <v>70.77</v>
      </c>
      <c r="F213">
        <v>83.86</v>
      </c>
      <c r="G213">
        <v>84.4</v>
      </c>
    </row>
    <row r="214" spans="1:7" x14ac:dyDescent="0.25">
      <c r="A214" s="2">
        <v>40664</v>
      </c>
      <c r="B214">
        <v>2011</v>
      </c>
      <c r="C214">
        <v>5</v>
      </c>
      <c r="D214" s="1" t="s">
        <v>32</v>
      </c>
      <c r="E214">
        <v>76.540000000000006</v>
      </c>
      <c r="F214">
        <v>94.76</v>
      </c>
      <c r="G214">
        <v>80.8</v>
      </c>
    </row>
    <row r="215" spans="1:7" x14ac:dyDescent="0.25">
      <c r="A215" s="2">
        <v>40695</v>
      </c>
      <c r="B215">
        <v>2011</v>
      </c>
      <c r="C215">
        <v>6</v>
      </c>
      <c r="D215" s="1" t="s">
        <v>32</v>
      </c>
      <c r="E215">
        <v>93.38</v>
      </c>
      <c r="F215">
        <v>114.77</v>
      </c>
      <c r="G215">
        <v>81.400000000000006</v>
      </c>
    </row>
    <row r="216" spans="1:7" x14ac:dyDescent="0.25">
      <c r="A216" s="2">
        <v>40725</v>
      </c>
      <c r="B216">
        <v>2011</v>
      </c>
      <c r="C216">
        <v>7</v>
      </c>
      <c r="D216" s="1" t="s">
        <v>32</v>
      </c>
      <c r="E216">
        <v>91.48</v>
      </c>
      <c r="F216">
        <v>114.61</v>
      </c>
      <c r="G216">
        <v>79.8</v>
      </c>
    </row>
    <row r="217" spans="1:7" x14ac:dyDescent="0.25">
      <c r="A217" s="2">
        <v>40756</v>
      </c>
      <c r="B217">
        <v>2011</v>
      </c>
      <c r="C217">
        <v>8</v>
      </c>
      <c r="D217" s="1" t="s">
        <v>32</v>
      </c>
      <c r="E217">
        <v>100.77</v>
      </c>
      <c r="F217">
        <v>128.93</v>
      </c>
      <c r="G217">
        <v>78.2</v>
      </c>
    </row>
    <row r="218" spans="1:7" x14ac:dyDescent="0.25">
      <c r="A218" s="2">
        <v>40787</v>
      </c>
      <c r="B218">
        <v>2011</v>
      </c>
      <c r="C218">
        <v>9</v>
      </c>
      <c r="D218" s="1" t="s">
        <v>32</v>
      </c>
      <c r="E218">
        <v>99.74</v>
      </c>
      <c r="F218">
        <v>121.8</v>
      </c>
      <c r="G218">
        <v>81.900000000000006</v>
      </c>
    </row>
    <row r="219" spans="1:7" x14ac:dyDescent="0.25">
      <c r="A219" s="2">
        <v>40817</v>
      </c>
      <c r="B219">
        <v>2011</v>
      </c>
      <c r="C219">
        <v>10</v>
      </c>
      <c r="D219" s="1" t="s">
        <v>32</v>
      </c>
      <c r="E219">
        <v>88.89</v>
      </c>
      <c r="F219">
        <v>109.97</v>
      </c>
      <c r="G219">
        <v>80.8</v>
      </c>
    </row>
    <row r="220" spans="1:7" x14ac:dyDescent="0.25">
      <c r="A220" s="2">
        <v>40848</v>
      </c>
      <c r="B220">
        <v>2011</v>
      </c>
      <c r="C220">
        <v>11</v>
      </c>
      <c r="D220" s="1" t="s">
        <v>32</v>
      </c>
      <c r="E220">
        <v>83.48</v>
      </c>
      <c r="F220">
        <v>99.7</v>
      </c>
      <c r="G220">
        <v>83.7</v>
      </c>
    </row>
    <row r="221" spans="1:7" x14ac:dyDescent="0.25">
      <c r="A221" s="2">
        <v>40878</v>
      </c>
      <c r="B221">
        <v>2011</v>
      </c>
      <c r="C221">
        <v>12</v>
      </c>
      <c r="D221" s="1" t="s">
        <v>32</v>
      </c>
      <c r="E221">
        <v>81.73</v>
      </c>
      <c r="F221">
        <v>104.03</v>
      </c>
      <c r="G221">
        <v>78.599999999999994</v>
      </c>
    </row>
    <row r="222" spans="1:7" x14ac:dyDescent="0.25">
      <c r="A222" s="2">
        <v>40909</v>
      </c>
      <c r="B222">
        <v>2012</v>
      </c>
      <c r="C222">
        <v>1</v>
      </c>
      <c r="D222" s="1" t="s">
        <v>32</v>
      </c>
      <c r="E222">
        <v>74.62</v>
      </c>
      <c r="F222">
        <v>92.95</v>
      </c>
      <c r="G222">
        <v>80.3</v>
      </c>
    </row>
    <row r="223" spans="1:7" x14ac:dyDescent="0.25">
      <c r="A223" s="2">
        <v>40940</v>
      </c>
      <c r="B223">
        <v>2012</v>
      </c>
      <c r="C223">
        <v>2</v>
      </c>
      <c r="D223" s="1" t="s">
        <v>32</v>
      </c>
      <c r="E223">
        <v>77.02</v>
      </c>
      <c r="F223">
        <v>97.13</v>
      </c>
      <c r="G223">
        <v>79.3</v>
      </c>
    </row>
    <row r="224" spans="1:7" x14ac:dyDescent="0.25">
      <c r="A224" s="2">
        <v>40969</v>
      </c>
      <c r="B224">
        <v>2012</v>
      </c>
      <c r="C224">
        <v>3</v>
      </c>
      <c r="D224" s="1" t="s">
        <v>32</v>
      </c>
      <c r="E224">
        <v>79.92</v>
      </c>
      <c r="F224">
        <v>97.54</v>
      </c>
      <c r="G224">
        <v>81.900000000000006</v>
      </c>
    </row>
    <row r="225" spans="1:7" x14ac:dyDescent="0.25">
      <c r="A225" s="2">
        <v>41000</v>
      </c>
      <c r="B225">
        <v>2012</v>
      </c>
      <c r="C225">
        <v>4</v>
      </c>
      <c r="D225" s="1" t="s">
        <v>32</v>
      </c>
      <c r="E225">
        <v>78.52</v>
      </c>
      <c r="F225">
        <v>97.37</v>
      </c>
      <c r="G225">
        <v>80.599999999999994</v>
      </c>
    </row>
    <row r="226" spans="1:7" x14ac:dyDescent="0.25">
      <c r="A226" s="2">
        <v>41030</v>
      </c>
      <c r="B226">
        <v>2012</v>
      </c>
      <c r="C226">
        <v>5</v>
      </c>
      <c r="D226" s="1" t="s">
        <v>32</v>
      </c>
      <c r="E226">
        <v>86.17</v>
      </c>
      <c r="F226">
        <v>108.46</v>
      </c>
      <c r="G226">
        <v>79.5</v>
      </c>
    </row>
    <row r="227" spans="1:7" x14ac:dyDescent="0.25">
      <c r="A227" s="2">
        <v>41061</v>
      </c>
      <c r="B227">
        <v>2012</v>
      </c>
      <c r="C227">
        <v>6</v>
      </c>
      <c r="D227" s="1" t="s">
        <v>32</v>
      </c>
      <c r="E227">
        <v>95.55</v>
      </c>
      <c r="F227">
        <v>120.12</v>
      </c>
      <c r="G227">
        <v>79.5</v>
      </c>
    </row>
    <row r="228" spans="1:7" x14ac:dyDescent="0.25">
      <c r="A228" s="2">
        <v>41091</v>
      </c>
      <c r="B228">
        <v>2012</v>
      </c>
      <c r="C228">
        <v>7</v>
      </c>
      <c r="D228" s="1" t="s">
        <v>32</v>
      </c>
      <c r="E228">
        <v>94.19</v>
      </c>
      <c r="F228">
        <v>115.94</v>
      </c>
      <c r="G228">
        <v>81.2</v>
      </c>
    </row>
    <row r="229" spans="1:7" x14ac:dyDescent="0.25">
      <c r="A229" s="2">
        <v>41122</v>
      </c>
      <c r="B229">
        <v>2012</v>
      </c>
      <c r="C229">
        <v>8</v>
      </c>
      <c r="D229" s="1" t="s">
        <v>32</v>
      </c>
      <c r="E229">
        <v>97.36</v>
      </c>
      <c r="F229">
        <v>120.95</v>
      </c>
      <c r="G229">
        <v>80.5</v>
      </c>
    </row>
    <row r="230" spans="1:7" x14ac:dyDescent="0.25">
      <c r="A230" s="2">
        <v>41153</v>
      </c>
      <c r="B230">
        <v>2012</v>
      </c>
      <c r="C230">
        <v>9</v>
      </c>
      <c r="D230" s="1" t="s">
        <v>32</v>
      </c>
      <c r="E230">
        <v>98.66</v>
      </c>
      <c r="F230">
        <v>122.93</v>
      </c>
      <c r="G230">
        <v>80.3</v>
      </c>
    </row>
    <row r="231" spans="1:7" x14ac:dyDescent="0.25">
      <c r="A231" s="2">
        <v>41183</v>
      </c>
      <c r="B231">
        <v>2012</v>
      </c>
      <c r="C231">
        <v>10</v>
      </c>
      <c r="D231" s="1" t="s">
        <v>32</v>
      </c>
      <c r="E231">
        <v>102.85</v>
      </c>
      <c r="F231">
        <v>125.25</v>
      </c>
      <c r="G231">
        <v>82.1</v>
      </c>
    </row>
    <row r="232" spans="1:7" x14ac:dyDescent="0.25">
      <c r="A232" s="2">
        <v>41214</v>
      </c>
      <c r="B232">
        <v>2012</v>
      </c>
      <c r="C232">
        <v>11</v>
      </c>
      <c r="D232" s="1" t="s">
        <v>32</v>
      </c>
      <c r="E232">
        <v>91.14</v>
      </c>
      <c r="F232">
        <v>116.17</v>
      </c>
      <c r="G232">
        <v>78.400000000000006</v>
      </c>
    </row>
    <row r="233" spans="1:7" x14ac:dyDescent="0.25">
      <c r="A233" s="2">
        <v>41244</v>
      </c>
      <c r="B233">
        <v>2012</v>
      </c>
      <c r="C233">
        <v>12</v>
      </c>
      <c r="D233" s="1" t="s">
        <v>32</v>
      </c>
      <c r="E233">
        <v>82.39</v>
      </c>
      <c r="F233">
        <v>99.95</v>
      </c>
      <c r="G233">
        <v>82.4</v>
      </c>
    </row>
    <row r="234" spans="1:7" x14ac:dyDescent="0.25">
      <c r="A234" s="2">
        <v>41275</v>
      </c>
      <c r="B234">
        <v>2013</v>
      </c>
      <c r="C234">
        <v>1</v>
      </c>
      <c r="D234" s="1" t="s">
        <v>32</v>
      </c>
      <c r="E234">
        <v>76.95</v>
      </c>
      <c r="F234">
        <v>91.81</v>
      </c>
      <c r="G234">
        <v>83.8</v>
      </c>
    </row>
    <row r="235" spans="1:7" x14ac:dyDescent="0.25">
      <c r="A235" s="2">
        <v>41306</v>
      </c>
      <c r="B235">
        <v>2013</v>
      </c>
      <c r="C235">
        <v>2</v>
      </c>
      <c r="D235" s="1" t="s">
        <v>32</v>
      </c>
      <c r="E235">
        <v>75.069999999999993</v>
      </c>
      <c r="F235">
        <v>92.2</v>
      </c>
      <c r="G235">
        <v>81.400000000000006</v>
      </c>
    </row>
    <row r="236" spans="1:7" x14ac:dyDescent="0.25">
      <c r="A236" s="2">
        <v>41334</v>
      </c>
      <c r="B236">
        <v>2013</v>
      </c>
      <c r="C236">
        <v>3</v>
      </c>
      <c r="D236" s="1" t="s">
        <v>32</v>
      </c>
      <c r="E236">
        <v>78.599999999999994</v>
      </c>
      <c r="F236">
        <v>95.47</v>
      </c>
      <c r="G236">
        <v>82.3</v>
      </c>
    </row>
    <row r="237" spans="1:7" x14ac:dyDescent="0.25">
      <c r="A237" s="2">
        <v>41365</v>
      </c>
      <c r="B237">
        <v>2013</v>
      </c>
      <c r="C237">
        <v>4</v>
      </c>
      <c r="D237" s="1" t="s">
        <v>32</v>
      </c>
      <c r="E237">
        <v>83.75</v>
      </c>
      <c r="F237">
        <v>102.82</v>
      </c>
      <c r="G237">
        <v>81.5</v>
      </c>
    </row>
    <row r="238" spans="1:7" x14ac:dyDescent="0.25">
      <c r="A238" s="2">
        <v>41395</v>
      </c>
      <c r="B238">
        <v>2013</v>
      </c>
      <c r="C238">
        <v>5</v>
      </c>
      <c r="D238" s="1" t="s">
        <v>32</v>
      </c>
      <c r="E238">
        <v>92.01</v>
      </c>
      <c r="F238">
        <v>114.26</v>
      </c>
      <c r="G238">
        <v>80.5</v>
      </c>
    </row>
    <row r="239" spans="1:7" x14ac:dyDescent="0.25">
      <c r="A239" s="2">
        <v>41426</v>
      </c>
      <c r="B239">
        <v>2013</v>
      </c>
      <c r="C239">
        <v>6</v>
      </c>
      <c r="D239" s="1" t="s">
        <v>32</v>
      </c>
      <c r="E239">
        <v>101.48</v>
      </c>
      <c r="F239">
        <v>123.04</v>
      </c>
      <c r="G239">
        <v>82.5</v>
      </c>
    </row>
    <row r="240" spans="1:7" x14ac:dyDescent="0.25">
      <c r="A240" s="2">
        <v>41456</v>
      </c>
      <c r="B240">
        <v>2013</v>
      </c>
      <c r="C240">
        <v>7</v>
      </c>
      <c r="D240" s="1" t="s">
        <v>32</v>
      </c>
      <c r="E240">
        <v>105.25</v>
      </c>
      <c r="F240">
        <v>129.72</v>
      </c>
      <c r="G240">
        <v>81.099999999999994</v>
      </c>
    </row>
    <row r="241" spans="1:7" x14ac:dyDescent="0.25">
      <c r="A241" s="2">
        <v>41487</v>
      </c>
      <c r="B241">
        <v>2013</v>
      </c>
      <c r="C241">
        <v>8</v>
      </c>
      <c r="D241" s="1" t="s">
        <v>32</v>
      </c>
      <c r="E241">
        <v>110.44</v>
      </c>
      <c r="F241">
        <v>135.46</v>
      </c>
      <c r="G241">
        <v>81.5</v>
      </c>
    </row>
    <row r="242" spans="1:7" x14ac:dyDescent="0.25">
      <c r="A242" s="2">
        <v>41518</v>
      </c>
      <c r="B242">
        <v>2013</v>
      </c>
      <c r="C242">
        <v>9</v>
      </c>
      <c r="D242" s="1" t="s">
        <v>32</v>
      </c>
      <c r="E242">
        <v>105.39</v>
      </c>
      <c r="F242">
        <v>128.19</v>
      </c>
      <c r="G242">
        <v>82.2</v>
      </c>
    </row>
    <row r="243" spans="1:7" x14ac:dyDescent="0.25">
      <c r="A243" s="2">
        <v>41548</v>
      </c>
      <c r="B243">
        <v>2013</v>
      </c>
      <c r="C243">
        <v>10</v>
      </c>
      <c r="D243" s="1" t="s">
        <v>32</v>
      </c>
      <c r="E243">
        <v>106.89</v>
      </c>
      <c r="F243">
        <v>134.76</v>
      </c>
      <c r="G243">
        <v>79.3</v>
      </c>
    </row>
    <row r="244" spans="1:7" x14ac:dyDescent="0.25">
      <c r="A244" s="2">
        <v>41579</v>
      </c>
      <c r="B244">
        <v>2013</v>
      </c>
      <c r="C244">
        <v>11</v>
      </c>
      <c r="D244" s="1" t="s">
        <v>32</v>
      </c>
      <c r="E244">
        <v>97.08</v>
      </c>
      <c r="F244">
        <v>124.13</v>
      </c>
      <c r="G244">
        <v>78.2</v>
      </c>
    </row>
    <row r="245" spans="1:7" x14ac:dyDescent="0.25">
      <c r="A245" s="2">
        <v>41609</v>
      </c>
      <c r="B245">
        <v>2013</v>
      </c>
      <c r="C245">
        <v>12</v>
      </c>
      <c r="D245" s="1" t="s">
        <v>32</v>
      </c>
      <c r="E245">
        <v>88.67</v>
      </c>
      <c r="F245">
        <v>104.13</v>
      </c>
      <c r="G245">
        <v>85.2</v>
      </c>
    </row>
    <row r="246" spans="1:7" x14ac:dyDescent="0.25">
      <c r="A246" s="2">
        <v>41640</v>
      </c>
      <c r="B246">
        <v>2014</v>
      </c>
      <c r="C246">
        <v>1</v>
      </c>
      <c r="D246" s="1" t="s">
        <v>32</v>
      </c>
      <c r="E246">
        <v>84.41</v>
      </c>
      <c r="F246">
        <v>102.51</v>
      </c>
      <c r="G246">
        <v>82.3</v>
      </c>
    </row>
    <row r="247" spans="1:7" x14ac:dyDescent="0.25">
      <c r="A247" s="2">
        <v>41671</v>
      </c>
      <c r="B247">
        <v>2014</v>
      </c>
      <c r="C247">
        <v>2</v>
      </c>
      <c r="D247" s="1" t="s">
        <v>32</v>
      </c>
      <c r="E247">
        <v>80.209999999999994</v>
      </c>
      <c r="F247">
        <v>97.75</v>
      </c>
      <c r="G247">
        <v>82.1</v>
      </c>
    </row>
    <row r="248" spans="1:7" x14ac:dyDescent="0.25">
      <c r="A248" s="2">
        <v>41699</v>
      </c>
      <c r="B248">
        <v>2014</v>
      </c>
      <c r="C248">
        <v>3</v>
      </c>
      <c r="D248" s="1" t="s">
        <v>32</v>
      </c>
      <c r="E248">
        <v>83.19</v>
      </c>
      <c r="F248">
        <v>103.43</v>
      </c>
      <c r="G248">
        <v>80.400000000000006</v>
      </c>
    </row>
    <row r="249" spans="1:7" x14ac:dyDescent="0.25">
      <c r="A249" s="2">
        <v>41730</v>
      </c>
      <c r="B249">
        <v>2014</v>
      </c>
      <c r="C249">
        <v>4</v>
      </c>
      <c r="D249" s="1" t="s">
        <v>32</v>
      </c>
      <c r="E249">
        <v>88.67</v>
      </c>
      <c r="F249">
        <v>107.62</v>
      </c>
      <c r="G249">
        <v>82.4</v>
      </c>
    </row>
    <row r="250" spans="1:7" x14ac:dyDescent="0.25">
      <c r="A250" s="2">
        <v>41760</v>
      </c>
      <c r="B250">
        <v>2014</v>
      </c>
      <c r="C250">
        <v>5</v>
      </c>
      <c r="D250" s="1" t="s">
        <v>32</v>
      </c>
      <c r="E250">
        <v>94.86</v>
      </c>
      <c r="F250">
        <v>118</v>
      </c>
      <c r="G250">
        <v>80.400000000000006</v>
      </c>
    </row>
    <row r="251" spans="1:7" x14ac:dyDescent="0.25">
      <c r="A251" s="2">
        <v>41791</v>
      </c>
      <c r="B251">
        <v>2014</v>
      </c>
      <c r="C251">
        <v>6</v>
      </c>
      <c r="D251" s="1" t="s">
        <v>32</v>
      </c>
      <c r="E251">
        <v>100.55</v>
      </c>
      <c r="F251">
        <v>121.47</v>
      </c>
      <c r="G251">
        <v>82.8</v>
      </c>
    </row>
    <row r="252" spans="1:7" x14ac:dyDescent="0.25">
      <c r="A252" s="2">
        <v>41821</v>
      </c>
      <c r="B252">
        <v>2014</v>
      </c>
      <c r="C252">
        <v>7</v>
      </c>
      <c r="D252" s="1" t="s">
        <v>32</v>
      </c>
      <c r="E252">
        <v>112.33</v>
      </c>
      <c r="F252">
        <v>136.21</v>
      </c>
      <c r="G252">
        <v>82.5</v>
      </c>
    </row>
    <row r="253" spans="1:7" x14ac:dyDescent="0.25">
      <c r="A253" s="2">
        <v>41852</v>
      </c>
      <c r="B253">
        <v>2014</v>
      </c>
      <c r="C253">
        <v>8</v>
      </c>
      <c r="D253" s="1" t="s">
        <v>32</v>
      </c>
      <c r="E253">
        <v>116.21</v>
      </c>
      <c r="F253">
        <v>141.41</v>
      </c>
      <c r="G253">
        <v>82.2</v>
      </c>
    </row>
    <row r="254" spans="1:7" x14ac:dyDescent="0.25">
      <c r="A254" s="2">
        <v>41883</v>
      </c>
      <c r="B254">
        <v>2014</v>
      </c>
      <c r="C254">
        <v>9</v>
      </c>
      <c r="D254" s="1" t="s">
        <v>32</v>
      </c>
      <c r="E254">
        <v>112.65</v>
      </c>
      <c r="F254">
        <v>136.37</v>
      </c>
      <c r="G254">
        <v>82.6</v>
      </c>
    </row>
    <row r="255" spans="1:7" x14ac:dyDescent="0.25">
      <c r="A255" s="2">
        <v>41913</v>
      </c>
      <c r="B255">
        <v>2014</v>
      </c>
      <c r="C255">
        <v>10</v>
      </c>
      <c r="D255" s="1" t="s">
        <v>32</v>
      </c>
      <c r="E255">
        <v>106.03</v>
      </c>
      <c r="F255">
        <v>131</v>
      </c>
      <c r="G255">
        <v>80.900000000000006</v>
      </c>
    </row>
    <row r="256" spans="1:7" x14ac:dyDescent="0.25">
      <c r="A256" s="2">
        <v>41944</v>
      </c>
      <c r="B256">
        <v>2014</v>
      </c>
      <c r="C256">
        <v>11</v>
      </c>
      <c r="D256" s="1" t="s">
        <v>32</v>
      </c>
      <c r="E256">
        <v>106.08</v>
      </c>
      <c r="F256">
        <v>130.81</v>
      </c>
      <c r="G256">
        <v>81.099999999999994</v>
      </c>
    </row>
    <row r="257" spans="1:7" x14ac:dyDescent="0.25">
      <c r="A257" s="2">
        <v>41974</v>
      </c>
      <c r="B257">
        <v>2014</v>
      </c>
      <c r="C257">
        <v>12</v>
      </c>
      <c r="D257" s="1" t="s">
        <v>32</v>
      </c>
      <c r="E257">
        <v>90.34</v>
      </c>
      <c r="F257">
        <v>109.01</v>
      </c>
      <c r="G257">
        <v>82.9</v>
      </c>
    </row>
    <row r="258" spans="1:7" x14ac:dyDescent="0.25">
      <c r="A258" s="2">
        <v>42005</v>
      </c>
      <c r="B258">
        <v>2015</v>
      </c>
      <c r="C258">
        <v>1</v>
      </c>
      <c r="D258" s="1" t="s">
        <v>32</v>
      </c>
      <c r="E258">
        <v>87.67</v>
      </c>
      <c r="F258">
        <v>110.71</v>
      </c>
      <c r="G258">
        <v>79.2</v>
      </c>
    </row>
    <row r="259" spans="1:7" x14ac:dyDescent="0.25">
      <c r="A259" s="2">
        <v>42036</v>
      </c>
      <c r="B259">
        <v>2015</v>
      </c>
      <c r="C259">
        <v>2</v>
      </c>
      <c r="D259" s="1" t="s">
        <v>32</v>
      </c>
      <c r="E259">
        <v>88.35</v>
      </c>
      <c r="F259">
        <v>107.99</v>
      </c>
      <c r="G259">
        <v>81.8</v>
      </c>
    </row>
    <row r="260" spans="1:7" x14ac:dyDescent="0.25">
      <c r="A260" s="2">
        <v>42064</v>
      </c>
      <c r="B260">
        <v>2015</v>
      </c>
      <c r="C260">
        <v>3</v>
      </c>
      <c r="D260" s="1" t="s">
        <v>32</v>
      </c>
      <c r="E260">
        <v>85</v>
      </c>
      <c r="F260">
        <v>100.74</v>
      </c>
      <c r="G260">
        <v>84.4</v>
      </c>
    </row>
    <row r="261" spans="1:7" x14ac:dyDescent="0.25">
      <c r="A261" s="2">
        <v>42095</v>
      </c>
      <c r="B261">
        <v>2015</v>
      </c>
      <c r="C261">
        <v>4</v>
      </c>
      <c r="D261" s="1" t="s">
        <v>32</v>
      </c>
      <c r="E261">
        <v>95.67</v>
      </c>
      <c r="F261">
        <v>120.38</v>
      </c>
      <c r="G261">
        <v>79.5</v>
      </c>
    </row>
    <row r="262" spans="1:7" x14ac:dyDescent="0.25">
      <c r="A262" s="2">
        <v>42125</v>
      </c>
      <c r="B262">
        <v>2015</v>
      </c>
      <c r="C262">
        <v>5</v>
      </c>
      <c r="D262" s="1" t="s">
        <v>32</v>
      </c>
      <c r="E262">
        <v>107.59</v>
      </c>
      <c r="F262">
        <v>129.13</v>
      </c>
      <c r="G262">
        <v>83.3</v>
      </c>
    </row>
    <row r="263" spans="1:7" x14ac:dyDescent="0.25">
      <c r="A263" s="2">
        <v>42156</v>
      </c>
      <c r="B263">
        <v>2015</v>
      </c>
      <c r="C263">
        <v>6</v>
      </c>
      <c r="D263" s="1" t="s">
        <v>32</v>
      </c>
      <c r="E263">
        <v>110.15</v>
      </c>
      <c r="F263">
        <v>129.32</v>
      </c>
      <c r="G263">
        <v>85.2</v>
      </c>
    </row>
    <row r="264" spans="1:7" x14ac:dyDescent="0.25">
      <c r="A264" s="2">
        <v>42186</v>
      </c>
      <c r="B264">
        <v>2015</v>
      </c>
      <c r="C264">
        <v>7</v>
      </c>
      <c r="D264" s="1" t="s">
        <v>32</v>
      </c>
      <c r="E264">
        <v>116.94</v>
      </c>
      <c r="F264">
        <v>142.69999999999999</v>
      </c>
      <c r="G264">
        <v>81.900000000000006</v>
      </c>
    </row>
    <row r="265" spans="1:7" x14ac:dyDescent="0.25">
      <c r="A265" s="2">
        <v>42217</v>
      </c>
      <c r="B265">
        <v>2015</v>
      </c>
      <c r="C265">
        <v>8</v>
      </c>
      <c r="D265" s="1" t="s">
        <v>32</v>
      </c>
      <c r="E265">
        <v>116.69</v>
      </c>
      <c r="F265">
        <v>140.31</v>
      </c>
      <c r="G265">
        <v>83.2</v>
      </c>
    </row>
    <row r="266" spans="1:7" x14ac:dyDescent="0.25">
      <c r="A266" s="2">
        <v>42248</v>
      </c>
      <c r="B266">
        <v>2015</v>
      </c>
      <c r="C266">
        <v>9</v>
      </c>
      <c r="D266" s="1" t="s">
        <v>32</v>
      </c>
      <c r="E266">
        <v>119.2</v>
      </c>
      <c r="F266">
        <v>145.32</v>
      </c>
      <c r="G266">
        <v>82</v>
      </c>
    </row>
    <row r="267" spans="1:7" x14ac:dyDescent="0.25">
      <c r="A267" s="2">
        <v>42278</v>
      </c>
      <c r="B267">
        <v>2015</v>
      </c>
      <c r="C267">
        <v>10</v>
      </c>
      <c r="D267" s="1" t="s">
        <v>32</v>
      </c>
      <c r="E267">
        <v>109.71</v>
      </c>
      <c r="F267">
        <v>133.37</v>
      </c>
      <c r="G267">
        <v>82.3</v>
      </c>
    </row>
    <row r="268" spans="1:7" x14ac:dyDescent="0.25">
      <c r="A268" s="2">
        <v>42309</v>
      </c>
      <c r="B268">
        <v>2015</v>
      </c>
      <c r="C268">
        <v>11</v>
      </c>
      <c r="D268" s="1" t="s">
        <v>32</v>
      </c>
      <c r="E268">
        <v>104.78</v>
      </c>
      <c r="F268">
        <v>132.08000000000001</v>
      </c>
      <c r="G268">
        <v>79.3</v>
      </c>
    </row>
    <row r="269" spans="1:7" x14ac:dyDescent="0.25">
      <c r="A269" s="2">
        <v>42339</v>
      </c>
      <c r="B269">
        <v>2015</v>
      </c>
      <c r="C269">
        <v>12</v>
      </c>
      <c r="D269" s="1" t="s">
        <v>32</v>
      </c>
      <c r="E269">
        <v>93.37</v>
      </c>
      <c r="F269">
        <v>112.32</v>
      </c>
      <c r="G269">
        <v>83.1</v>
      </c>
    </row>
    <row r="270" spans="1:7" x14ac:dyDescent="0.25">
      <c r="A270" s="2">
        <v>42370</v>
      </c>
      <c r="B270">
        <v>2016</v>
      </c>
      <c r="C270">
        <v>1</v>
      </c>
      <c r="D270" s="1" t="s">
        <v>32</v>
      </c>
      <c r="E270">
        <v>85.3</v>
      </c>
      <c r="F270">
        <v>103.51</v>
      </c>
      <c r="G270">
        <v>82.4</v>
      </c>
    </row>
    <row r="271" spans="1:7" x14ac:dyDescent="0.25">
      <c r="A271" s="2">
        <v>42401</v>
      </c>
      <c r="B271">
        <v>2016</v>
      </c>
      <c r="C271">
        <v>2</v>
      </c>
      <c r="D271" s="1" t="s">
        <v>32</v>
      </c>
      <c r="E271">
        <v>89.24</v>
      </c>
      <c r="F271">
        <v>105.46</v>
      </c>
      <c r="G271">
        <v>84.6</v>
      </c>
    </row>
    <row r="272" spans="1:7" x14ac:dyDescent="0.25">
      <c r="A272" s="2">
        <v>42430</v>
      </c>
      <c r="B272">
        <v>2016</v>
      </c>
      <c r="C272">
        <v>3</v>
      </c>
      <c r="D272" s="1" t="s">
        <v>32</v>
      </c>
      <c r="E272">
        <v>91.73</v>
      </c>
      <c r="F272">
        <v>110.1</v>
      </c>
      <c r="G272">
        <v>83.3</v>
      </c>
    </row>
    <row r="273" spans="1:7" x14ac:dyDescent="0.25">
      <c r="A273" s="2">
        <v>42461</v>
      </c>
      <c r="B273">
        <v>2016</v>
      </c>
      <c r="C273">
        <v>4</v>
      </c>
      <c r="D273" s="1" t="s">
        <v>32</v>
      </c>
      <c r="E273">
        <v>98.26</v>
      </c>
      <c r="F273">
        <v>119.5</v>
      </c>
      <c r="G273">
        <v>82.2</v>
      </c>
    </row>
    <row r="274" spans="1:7" x14ac:dyDescent="0.25">
      <c r="A274" s="2">
        <v>42491</v>
      </c>
      <c r="B274">
        <v>2016</v>
      </c>
      <c r="C274">
        <v>5</v>
      </c>
      <c r="D274" s="1" t="s">
        <v>32</v>
      </c>
      <c r="E274">
        <v>110.41</v>
      </c>
      <c r="F274">
        <v>136.19</v>
      </c>
      <c r="G274">
        <v>81.099999999999994</v>
      </c>
    </row>
    <row r="275" spans="1:7" x14ac:dyDescent="0.25">
      <c r="A275" s="2">
        <v>42522</v>
      </c>
      <c r="B275">
        <v>2016</v>
      </c>
      <c r="C275">
        <v>6</v>
      </c>
      <c r="D275" s="1" t="s">
        <v>32</v>
      </c>
      <c r="E275">
        <v>120.18</v>
      </c>
      <c r="F275">
        <v>150.19999999999999</v>
      </c>
      <c r="G275">
        <v>80</v>
      </c>
    </row>
    <row r="276" spans="1:7" x14ac:dyDescent="0.25">
      <c r="A276" s="2">
        <v>42552</v>
      </c>
      <c r="B276">
        <v>2016</v>
      </c>
      <c r="C276">
        <v>7</v>
      </c>
      <c r="D276" s="1" t="s">
        <v>32</v>
      </c>
      <c r="E276">
        <v>124.25</v>
      </c>
      <c r="F276">
        <v>148.19</v>
      </c>
      <c r="G276">
        <v>83.8</v>
      </c>
    </row>
    <row r="277" spans="1:7" x14ac:dyDescent="0.25">
      <c r="A277" s="2">
        <v>42583</v>
      </c>
      <c r="B277">
        <v>2016</v>
      </c>
      <c r="C277">
        <v>8</v>
      </c>
      <c r="D277" s="1" t="s">
        <v>32</v>
      </c>
      <c r="E277">
        <v>128.44</v>
      </c>
      <c r="F277">
        <v>149.63999999999999</v>
      </c>
      <c r="G277">
        <v>85.8</v>
      </c>
    </row>
    <row r="278" spans="1:7" x14ac:dyDescent="0.25">
      <c r="A278" s="2">
        <v>42614</v>
      </c>
      <c r="B278">
        <v>2016</v>
      </c>
      <c r="C278">
        <v>9</v>
      </c>
      <c r="D278" s="1" t="s">
        <v>32</v>
      </c>
      <c r="E278">
        <v>121.48</v>
      </c>
      <c r="F278">
        <v>153.30000000000001</v>
      </c>
      <c r="G278">
        <v>79.2</v>
      </c>
    </row>
    <row r="279" spans="1:7" x14ac:dyDescent="0.25">
      <c r="A279" s="2">
        <v>42644</v>
      </c>
      <c r="B279">
        <v>2016</v>
      </c>
      <c r="C279">
        <v>10</v>
      </c>
      <c r="D279" s="1" t="s">
        <v>32</v>
      </c>
      <c r="E279">
        <v>115.3</v>
      </c>
      <c r="F279">
        <v>138.38</v>
      </c>
      <c r="G279">
        <v>83.3</v>
      </c>
    </row>
    <row r="280" spans="1:7" x14ac:dyDescent="0.25">
      <c r="A280" s="2">
        <v>42675</v>
      </c>
      <c r="B280">
        <v>2016</v>
      </c>
      <c r="C280">
        <v>11</v>
      </c>
      <c r="D280" s="1" t="s">
        <v>32</v>
      </c>
      <c r="E280">
        <v>112.67</v>
      </c>
      <c r="F280">
        <v>137.06</v>
      </c>
      <c r="G280">
        <v>82.2</v>
      </c>
    </row>
    <row r="281" spans="1:7" x14ac:dyDescent="0.25">
      <c r="A281" s="2">
        <v>42705</v>
      </c>
      <c r="B281">
        <v>2016</v>
      </c>
      <c r="C281">
        <v>12</v>
      </c>
      <c r="D281" s="1" t="s">
        <v>32</v>
      </c>
      <c r="E281">
        <v>99.72</v>
      </c>
      <c r="F281">
        <v>119.38</v>
      </c>
      <c r="G281">
        <v>83.5</v>
      </c>
    </row>
    <row r="282" spans="1:7" x14ac:dyDescent="0.25">
      <c r="A282" s="2">
        <v>42736</v>
      </c>
      <c r="B282">
        <v>2017</v>
      </c>
      <c r="C282">
        <v>1</v>
      </c>
      <c r="D282" s="1" t="s">
        <v>32</v>
      </c>
      <c r="E282">
        <v>93.94</v>
      </c>
      <c r="F282">
        <v>111.41</v>
      </c>
      <c r="G282">
        <v>84.3</v>
      </c>
    </row>
    <row r="283" spans="1:7" x14ac:dyDescent="0.25">
      <c r="A283" s="2">
        <v>42767</v>
      </c>
      <c r="B283">
        <v>2017</v>
      </c>
      <c r="C283">
        <v>2</v>
      </c>
      <c r="D283" s="1" t="s">
        <v>32</v>
      </c>
      <c r="E283">
        <v>104.18</v>
      </c>
      <c r="F283">
        <v>125.93</v>
      </c>
      <c r="G283">
        <v>82.7</v>
      </c>
    </row>
    <row r="284" spans="1:7" x14ac:dyDescent="0.25">
      <c r="A284" s="2">
        <v>42795</v>
      </c>
      <c r="B284">
        <v>2017</v>
      </c>
      <c r="C284">
        <v>3</v>
      </c>
      <c r="D284" s="1" t="s">
        <v>32</v>
      </c>
      <c r="E284">
        <v>100.06</v>
      </c>
      <c r="F284">
        <v>123.5</v>
      </c>
      <c r="G284">
        <v>81</v>
      </c>
    </row>
    <row r="285" spans="1:7" x14ac:dyDescent="0.25">
      <c r="A285" s="2">
        <v>42826</v>
      </c>
      <c r="B285">
        <v>2017</v>
      </c>
      <c r="C285">
        <v>4</v>
      </c>
      <c r="D285" s="1" t="s">
        <v>32</v>
      </c>
      <c r="E285">
        <v>99.44</v>
      </c>
      <c r="F285">
        <v>123.08</v>
      </c>
      <c r="G285">
        <v>80.8</v>
      </c>
    </row>
    <row r="286" spans="1:7" x14ac:dyDescent="0.25">
      <c r="A286" s="2">
        <v>42856</v>
      </c>
      <c r="B286">
        <v>2017</v>
      </c>
      <c r="C286">
        <v>5</v>
      </c>
      <c r="D286" s="1" t="s">
        <v>32</v>
      </c>
      <c r="E286">
        <v>110.32</v>
      </c>
      <c r="F286">
        <v>139.46</v>
      </c>
      <c r="G286">
        <v>79.099999999999994</v>
      </c>
    </row>
    <row r="287" spans="1:7" x14ac:dyDescent="0.25">
      <c r="A287" s="2">
        <v>42887</v>
      </c>
      <c r="B287">
        <v>2017</v>
      </c>
      <c r="C287">
        <v>6</v>
      </c>
      <c r="D287" s="1" t="s">
        <v>32</v>
      </c>
      <c r="E287">
        <v>129.61000000000001</v>
      </c>
      <c r="F287">
        <v>157.02000000000001</v>
      </c>
      <c r="G287">
        <v>82.5</v>
      </c>
    </row>
    <row r="288" spans="1:7" x14ac:dyDescent="0.25">
      <c r="A288" s="2">
        <v>42917</v>
      </c>
      <c r="B288">
        <v>2017</v>
      </c>
      <c r="C288">
        <v>7</v>
      </c>
      <c r="D288" s="1" t="s">
        <v>32</v>
      </c>
      <c r="E288">
        <v>131.43</v>
      </c>
      <c r="F288">
        <v>161.49</v>
      </c>
      <c r="G288">
        <v>81.400000000000006</v>
      </c>
    </row>
    <row r="289" spans="1:7" x14ac:dyDescent="0.25">
      <c r="A289" s="2">
        <v>42948</v>
      </c>
      <c r="B289">
        <v>2017</v>
      </c>
      <c r="C289">
        <v>8</v>
      </c>
      <c r="D289" s="1" t="s">
        <v>32</v>
      </c>
      <c r="E289">
        <v>132.13999999999999</v>
      </c>
      <c r="F289">
        <v>157.44</v>
      </c>
      <c r="G289">
        <v>83.9</v>
      </c>
    </row>
    <row r="290" spans="1:7" x14ac:dyDescent="0.25">
      <c r="A290" s="2">
        <v>42979</v>
      </c>
      <c r="B290">
        <v>2017</v>
      </c>
      <c r="C290">
        <v>9</v>
      </c>
      <c r="D290" s="1" t="s">
        <v>32</v>
      </c>
      <c r="E290">
        <v>130.94</v>
      </c>
      <c r="F290">
        <v>157.63999999999999</v>
      </c>
      <c r="G290">
        <v>83.1</v>
      </c>
    </row>
    <row r="291" spans="1:7" x14ac:dyDescent="0.25">
      <c r="A291" s="2">
        <v>43009</v>
      </c>
      <c r="B291">
        <v>2017</v>
      </c>
      <c r="C291">
        <v>10</v>
      </c>
      <c r="D291" s="1" t="s">
        <v>32</v>
      </c>
      <c r="E291">
        <v>124.5</v>
      </c>
      <c r="F291">
        <v>153.11000000000001</v>
      </c>
      <c r="G291">
        <v>81.3</v>
      </c>
    </row>
    <row r="292" spans="1:7" x14ac:dyDescent="0.25">
      <c r="A292" s="2">
        <v>43040</v>
      </c>
      <c r="B292">
        <v>2017</v>
      </c>
      <c r="C292">
        <v>11</v>
      </c>
      <c r="D292" s="1" t="s">
        <v>32</v>
      </c>
      <c r="E292">
        <v>112.16</v>
      </c>
      <c r="F292">
        <v>143.72</v>
      </c>
      <c r="G292">
        <v>78</v>
      </c>
    </row>
    <row r="293" spans="1:7" x14ac:dyDescent="0.25">
      <c r="A293" s="2">
        <v>43070</v>
      </c>
      <c r="B293">
        <v>2017</v>
      </c>
      <c r="C293">
        <v>12</v>
      </c>
      <c r="D293" s="1" t="s">
        <v>32</v>
      </c>
      <c r="E293">
        <v>107.84</v>
      </c>
      <c r="F293">
        <v>131.33000000000001</v>
      </c>
      <c r="G293">
        <v>82.1</v>
      </c>
    </row>
    <row r="294" spans="1:7" x14ac:dyDescent="0.25">
      <c r="A294" s="2">
        <v>43101</v>
      </c>
      <c r="B294">
        <v>2018</v>
      </c>
      <c r="C294">
        <v>1</v>
      </c>
      <c r="D294" s="1" t="s">
        <v>32</v>
      </c>
      <c r="E294">
        <v>98.79</v>
      </c>
      <c r="F294">
        <v>120.57</v>
      </c>
      <c r="G294">
        <v>81.900000000000006</v>
      </c>
    </row>
    <row r="295" spans="1:7" x14ac:dyDescent="0.25">
      <c r="A295" s="2">
        <v>43132</v>
      </c>
      <c r="B295">
        <v>2018</v>
      </c>
      <c r="C295">
        <v>2</v>
      </c>
      <c r="D295" s="1" t="s">
        <v>32</v>
      </c>
      <c r="E295">
        <v>100.89</v>
      </c>
      <c r="F295">
        <v>129.86000000000001</v>
      </c>
      <c r="G295">
        <v>77.7</v>
      </c>
    </row>
    <row r="296" spans="1:7" x14ac:dyDescent="0.25">
      <c r="A296" s="2">
        <v>43160</v>
      </c>
      <c r="B296">
        <v>2018</v>
      </c>
      <c r="C296">
        <v>3</v>
      </c>
      <c r="D296" s="1" t="s">
        <v>32</v>
      </c>
      <c r="E296">
        <v>100.74</v>
      </c>
      <c r="F296">
        <v>121.64</v>
      </c>
      <c r="G296">
        <v>82.8</v>
      </c>
    </row>
    <row r="297" spans="1:7" x14ac:dyDescent="0.25">
      <c r="A297" s="2">
        <v>43191</v>
      </c>
      <c r="B297">
        <v>2018</v>
      </c>
      <c r="C297">
        <v>4</v>
      </c>
      <c r="D297" s="1" t="s">
        <v>32</v>
      </c>
      <c r="E297">
        <v>111.83</v>
      </c>
      <c r="F297">
        <v>140.32</v>
      </c>
      <c r="G297">
        <v>79.7</v>
      </c>
    </row>
    <row r="298" spans="1:7" x14ac:dyDescent="0.25">
      <c r="A298" s="2">
        <v>43221</v>
      </c>
      <c r="B298">
        <v>2018</v>
      </c>
      <c r="C298">
        <v>5</v>
      </c>
      <c r="D298" s="1" t="s">
        <v>32</v>
      </c>
      <c r="E298">
        <v>120.57</v>
      </c>
      <c r="F298">
        <v>143.46</v>
      </c>
      <c r="G298">
        <v>84</v>
      </c>
    </row>
    <row r="299" spans="1:7" x14ac:dyDescent="0.25">
      <c r="A299" s="2">
        <v>43252</v>
      </c>
      <c r="B299">
        <v>2018</v>
      </c>
      <c r="C299">
        <v>6</v>
      </c>
      <c r="D299" s="1" t="s">
        <v>32</v>
      </c>
      <c r="E299">
        <v>132.59</v>
      </c>
      <c r="F299">
        <v>162.08000000000001</v>
      </c>
      <c r="G299">
        <v>81.8</v>
      </c>
    </row>
    <row r="300" spans="1:7" x14ac:dyDescent="0.25">
      <c r="A300" s="2">
        <v>43282</v>
      </c>
      <c r="B300">
        <v>2018</v>
      </c>
      <c r="C300">
        <v>7</v>
      </c>
      <c r="D300" s="1" t="s">
        <v>32</v>
      </c>
      <c r="E300">
        <v>134.81</v>
      </c>
      <c r="F300">
        <v>166.97</v>
      </c>
      <c r="G300">
        <v>80.7</v>
      </c>
    </row>
    <row r="301" spans="1:7" x14ac:dyDescent="0.25">
      <c r="A301" s="2">
        <v>43313</v>
      </c>
      <c r="B301">
        <v>2018</v>
      </c>
      <c r="C301">
        <v>8</v>
      </c>
      <c r="D301" s="1" t="s">
        <v>32</v>
      </c>
      <c r="E301">
        <v>141.69999999999999</v>
      </c>
      <c r="F301">
        <v>171.99</v>
      </c>
      <c r="G301">
        <v>82.4</v>
      </c>
    </row>
    <row r="302" spans="1:7" x14ac:dyDescent="0.25">
      <c r="A302" s="2">
        <v>43344</v>
      </c>
      <c r="B302">
        <v>2018</v>
      </c>
      <c r="C302">
        <v>9</v>
      </c>
      <c r="D302" s="1" t="s">
        <v>32</v>
      </c>
      <c r="E302">
        <v>140.47999999999999</v>
      </c>
      <c r="F302">
        <v>170.76</v>
      </c>
      <c r="G302">
        <v>82.3</v>
      </c>
    </row>
    <row r="303" spans="1:7" x14ac:dyDescent="0.25">
      <c r="A303" s="2">
        <v>43374</v>
      </c>
      <c r="B303">
        <v>2018</v>
      </c>
      <c r="C303">
        <v>10</v>
      </c>
      <c r="D303" s="1" t="s">
        <v>32</v>
      </c>
      <c r="E303">
        <v>134.96</v>
      </c>
      <c r="F303">
        <v>164.21</v>
      </c>
      <c r="G303">
        <v>82.2</v>
      </c>
    </row>
    <row r="304" spans="1:7" x14ac:dyDescent="0.25">
      <c r="A304" s="2">
        <v>43405</v>
      </c>
      <c r="B304">
        <v>2018</v>
      </c>
      <c r="C304">
        <v>11</v>
      </c>
      <c r="D304" s="1" t="s">
        <v>32</v>
      </c>
      <c r="E304">
        <v>125.93</v>
      </c>
      <c r="F304">
        <v>150.38</v>
      </c>
      <c r="G304">
        <v>83.7</v>
      </c>
    </row>
    <row r="305" spans="1:7" x14ac:dyDescent="0.25">
      <c r="A305" s="2">
        <v>43435</v>
      </c>
      <c r="B305">
        <v>2018</v>
      </c>
      <c r="C305">
        <v>12</v>
      </c>
      <c r="D305" s="1" t="s">
        <v>32</v>
      </c>
      <c r="E305">
        <v>111.51</v>
      </c>
      <c r="F305">
        <v>142.27000000000001</v>
      </c>
      <c r="G305">
        <v>78.400000000000006</v>
      </c>
    </row>
    <row r="306" spans="1:7" x14ac:dyDescent="0.25">
      <c r="A306" s="2">
        <v>43466</v>
      </c>
      <c r="B306">
        <v>2019</v>
      </c>
      <c r="C306">
        <v>1</v>
      </c>
      <c r="D306" s="1" t="s">
        <v>32</v>
      </c>
      <c r="E306">
        <v>113.01</v>
      </c>
      <c r="F306">
        <v>136.94999999999999</v>
      </c>
      <c r="G306">
        <v>82.5</v>
      </c>
    </row>
    <row r="307" spans="1:7" x14ac:dyDescent="0.25">
      <c r="A307" s="2">
        <v>43497</v>
      </c>
      <c r="B307">
        <v>2019</v>
      </c>
      <c r="C307">
        <v>2</v>
      </c>
      <c r="D307" s="1" t="s">
        <v>32</v>
      </c>
      <c r="E307">
        <v>94.53</v>
      </c>
      <c r="F307">
        <v>117.32</v>
      </c>
      <c r="G307">
        <v>80.599999999999994</v>
      </c>
    </row>
    <row r="308" spans="1:7" x14ac:dyDescent="0.25">
      <c r="A308" s="2">
        <v>43525</v>
      </c>
      <c r="B308">
        <v>2019</v>
      </c>
      <c r="C308">
        <v>3</v>
      </c>
      <c r="D308" s="1" t="s">
        <v>32</v>
      </c>
      <c r="E308">
        <v>98.1</v>
      </c>
      <c r="F308">
        <v>120.46</v>
      </c>
      <c r="G308">
        <v>81.400000000000006</v>
      </c>
    </row>
    <row r="309" spans="1:7" x14ac:dyDescent="0.25">
      <c r="A309" s="2">
        <v>43556</v>
      </c>
      <c r="B309">
        <v>2019</v>
      </c>
      <c r="C309">
        <v>4</v>
      </c>
      <c r="D309" s="1" t="s">
        <v>32</v>
      </c>
      <c r="E309">
        <v>94.05</v>
      </c>
      <c r="F309">
        <v>110.91</v>
      </c>
      <c r="G309">
        <v>84.8</v>
      </c>
    </row>
    <row r="310" spans="1:7" x14ac:dyDescent="0.25">
      <c r="A310" s="2">
        <v>43586</v>
      </c>
      <c r="B310">
        <v>2019</v>
      </c>
      <c r="C310">
        <v>5</v>
      </c>
      <c r="D310" s="1" t="s">
        <v>32</v>
      </c>
      <c r="E310">
        <v>93.35</v>
      </c>
      <c r="F310">
        <v>116.11</v>
      </c>
      <c r="G310">
        <v>80.400000000000006</v>
      </c>
    </row>
    <row r="311" spans="1:7" x14ac:dyDescent="0.25">
      <c r="A311" s="2">
        <v>43617</v>
      </c>
      <c r="B311">
        <v>2019</v>
      </c>
      <c r="C311">
        <v>6</v>
      </c>
      <c r="D311" s="1" t="s">
        <v>32</v>
      </c>
      <c r="E311">
        <v>96.73</v>
      </c>
      <c r="F311">
        <v>116.86</v>
      </c>
      <c r="G311">
        <v>82.8</v>
      </c>
    </row>
    <row r="312" spans="1:7" x14ac:dyDescent="0.25">
      <c r="A312" s="2">
        <v>43647</v>
      </c>
      <c r="B312">
        <v>2019</v>
      </c>
      <c r="C312">
        <v>7</v>
      </c>
      <c r="D312" s="1" t="s">
        <v>32</v>
      </c>
      <c r="E312">
        <v>94.62</v>
      </c>
      <c r="F312">
        <v>112.88</v>
      </c>
      <c r="G312">
        <v>83.8</v>
      </c>
    </row>
    <row r="313" spans="1:7" x14ac:dyDescent="0.25">
      <c r="A313" s="2">
        <v>43678</v>
      </c>
      <c r="B313">
        <v>2019</v>
      </c>
      <c r="C313">
        <v>8</v>
      </c>
      <c r="D313" s="1" t="s">
        <v>32</v>
      </c>
      <c r="E313">
        <v>87.44</v>
      </c>
      <c r="F313">
        <v>105.38</v>
      </c>
      <c r="G313">
        <v>83</v>
      </c>
    </row>
    <row r="314" spans="1:7" x14ac:dyDescent="0.25">
      <c r="A314" s="2">
        <v>43709</v>
      </c>
      <c r="B314">
        <v>2019</v>
      </c>
      <c r="C314">
        <v>9</v>
      </c>
      <c r="D314" s="1" t="s">
        <v>32</v>
      </c>
      <c r="E314">
        <v>76.989999999999995</v>
      </c>
      <c r="F314">
        <v>93.74</v>
      </c>
      <c r="G314">
        <v>82.1</v>
      </c>
    </row>
    <row r="315" spans="1:7" x14ac:dyDescent="0.25">
      <c r="A315" s="2">
        <v>43739</v>
      </c>
      <c r="B315">
        <v>2019</v>
      </c>
      <c r="C315">
        <v>10</v>
      </c>
      <c r="D315" s="1" t="s">
        <v>32</v>
      </c>
      <c r="E315">
        <v>66.599999999999994</v>
      </c>
      <c r="F315">
        <v>80.790000000000006</v>
      </c>
      <c r="G315">
        <v>82.4</v>
      </c>
    </row>
    <row r="316" spans="1:7" x14ac:dyDescent="0.25">
      <c r="A316" s="2">
        <v>43770</v>
      </c>
      <c r="B316">
        <v>2019</v>
      </c>
      <c r="C316">
        <v>11</v>
      </c>
      <c r="D316" s="1" t="s">
        <v>32</v>
      </c>
      <c r="E316">
        <v>56.12</v>
      </c>
      <c r="F316">
        <v>67.52</v>
      </c>
      <c r="G316">
        <v>83.1</v>
      </c>
    </row>
    <row r="317" spans="1:7" x14ac:dyDescent="0.25">
      <c r="A317" s="2">
        <v>43800</v>
      </c>
      <c r="B317">
        <v>2019</v>
      </c>
      <c r="C317">
        <v>12</v>
      </c>
      <c r="D317" s="1" t="s">
        <v>32</v>
      </c>
      <c r="E317">
        <v>44.38</v>
      </c>
      <c r="F317">
        <v>55.21</v>
      </c>
      <c r="G317">
        <v>80.400000000000006</v>
      </c>
    </row>
    <row r="318" spans="1:7" x14ac:dyDescent="0.25">
      <c r="A318" s="2">
        <v>43831</v>
      </c>
      <c r="B318">
        <v>2020</v>
      </c>
      <c r="C318">
        <v>1</v>
      </c>
      <c r="D318" s="1" t="s">
        <v>32</v>
      </c>
      <c r="E318">
        <v>35.75</v>
      </c>
      <c r="F318">
        <v>43.62</v>
      </c>
      <c r="G318">
        <v>81.900000000000006</v>
      </c>
    </row>
    <row r="319" spans="1:7" x14ac:dyDescent="0.25">
      <c r="A319" s="2">
        <v>43862</v>
      </c>
      <c r="B319">
        <v>2020</v>
      </c>
      <c r="C319">
        <v>2</v>
      </c>
      <c r="D319" s="1" t="s">
        <v>32</v>
      </c>
      <c r="E319">
        <v>36.799999999999997</v>
      </c>
      <c r="F319">
        <v>42.58</v>
      </c>
      <c r="G319">
        <v>86.4</v>
      </c>
    </row>
    <row r="320" spans="1:7" x14ac:dyDescent="0.25">
      <c r="A320" s="2">
        <v>43891</v>
      </c>
      <c r="B320">
        <v>2020</v>
      </c>
      <c r="C320">
        <v>3</v>
      </c>
      <c r="D320" s="1" t="s">
        <v>32</v>
      </c>
      <c r="E320">
        <v>5.79</v>
      </c>
      <c r="F320">
        <v>10.53</v>
      </c>
      <c r="G320">
        <v>55</v>
      </c>
    </row>
    <row r="321" spans="1:7" x14ac:dyDescent="0.25">
      <c r="A321" s="2">
        <v>43922</v>
      </c>
      <c r="B321">
        <v>2020</v>
      </c>
      <c r="C321">
        <v>4</v>
      </c>
      <c r="D321" s="1" t="s">
        <v>32</v>
      </c>
      <c r="E321">
        <v>6.75</v>
      </c>
      <c r="F321">
        <v>12.28</v>
      </c>
      <c r="G321">
        <v>55</v>
      </c>
    </row>
    <row r="322" spans="1:7" x14ac:dyDescent="0.25">
      <c r="A322" s="2">
        <v>43952</v>
      </c>
      <c r="B322">
        <v>2020</v>
      </c>
      <c r="C322">
        <v>5</v>
      </c>
      <c r="D322" s="1" t="s">
        <v>32</v>
      </c>
      <c r="E322">
        <v>7.91</v>
      </c>
      <c r="F322">
        <v>14.38</v>
      </c>
      <c r="G322">
        <v>55</v>
      </c>
    </row>
    <row r="323" spans="1:7" x14ac:dyDescent="0.25">
      <c r="A323" s="2">
        <v>43983</v>
      </c>
      <c r="B323">
        <v>2020</v>
      </c>
      <c r="C323">
        <v>6</v>
      </c>
      <c r="D323" s="1" t="s">
        <v>32</v>
      </c>
      <c r="E323">
        <v>8.34</v>
      </c>
      <c r="F323">
        <v>15.16</v>
      </c>
      <c r="G323">
        <v>55</v>
      </c>
    </row>
    <row r="324" spans="1:7" x14ac:dyDescent="0.25">
      <c r="A324" s="2">
        <v>44013</v>
      </c>
      <c r="B324">
        <v>2020</v>
      </c>
      <c r="C324">
        <v>7</v>
      </c>
      <c r="D324" s="1" t="s">
        <v>32</v>
      </c>
      <c r="E324">
        <v>59.54</v>
      </c>
      <c r="F324">
        <v>108.25</v>
      </c>
      <c r="G324">
        <v>55</v>
      </c>
    </row>
    <row r="325" spans="1:7" x14ac:dyDescent="0.25">
      <c r="A325" s="2">
        <v>44044</v>
      </c>
      <c r="B325">
        <v>2020</v>
      </c>
      <c r="C325">
        <v>8</v>
      </c>
      <c r="D325" s="1" t="s">
        <v>32</v>
      </c>
      <c r="E325">
        <v>22.83</v>
      </c>
      <c r="F325">
        <v>41.5</v>
      </c>
      <c r="G325">
        <v>55</v>
      </c>
    </row>
    <row r="326" spans="1:7" x14ac:dyDescent="0.25">
      <c r="A326" s="2">
        <v>44075</v>
      </c>
      <c r="B326">
        <v>2020</v>
      </c>
      <c r="C326">
        <v>9</v>
      </c>
      <c r="D326" s="1" t="s">
        <v>32</v>
      </c>
      <c r="E326">
        <v>23.55</v>
      </c>
      <c r="F326">
        <v>42.81</v>
      </c>
      <c r="G326">
        <v>55</v>
      </c>
    </row>
    <row r="327" spans="1:7" x14ac:dyDescent="0.25">
      <c r="A327" s="2">
        <v>44105</v>
      </c>
      <c r="B327">
        <v>2020</v>
      </c>
      <c r="C327">
        <v>10</v>
      </c>
      <c r="D327" s="1" t="s">
        <v>32</v>
      </c>
      <c r="E327">
        <v>22.12</v>
      </c>
      <c r="F327">
        <v>40.22</v>
      </c>
      <c r="G327">
        <v>55</v>
      </c>
    </row>
    <row r="328" spans="1:7" x14ac:dyDescent="0.25">
      <c r="A328" s="2">
        <v>44136</v>
      </c>
      <c r="B328">
        <v>2020</v>
      </c>
      <c r="C328">
        <v>11</v>
      </c>
      <c r="D328" s="1" t="s">
        <v>32</v>
      </c>
      <c r="E328">
        <v>21.75</v>
      </c>
      <c r="F328">
        <v>39.549999999999997</v>
      </c>
      <c r="G328">
        <v>55</v>
      </c>
    </row>
    <row r="329" spans="1:7" x14ac:dyDescent="0.25">
      <c r="A329" s="2">
        <v>44166</v>
      </c>
      <c r="B329">
        <v>2020</v>
      </c>
      <c r="C329">
        <v>12</v>
      </c>
      <c r="D329" s="1" t="s">
        <v>32</v>
      </c>
      <c r="E329">
        <v>20.12</v>
      </c>
      <c r="F329">
        <v>36.58</v>
      </c>
      <c r="G329">
        <v>55</v>
      </c>
    </row>
    <row r="330" spans="1:7" x14ac:dyDescent="0.25">
      <c r="A330" s="2">
        <v>44197</v>
      </c>
      <c r="B330">
        <v>2021</v>
      </c>
      <c r="C330">
        <v>1</v>
      </c>
      <c r="D330" s="1" t="s">
        <v>32</v>
      </c>
      <c r="E330">
        <v>58.62</v>
      </c>
      <c r="F330">
        <v>72.12</v>
      </c>
      <c r="G330">
        <v>81.3</v>
      </c>
    </row>
    <row r="331" spans="1:7" x14ac:dyDescent="0.25">
      <c r="A331" s="2">
        <v>44228</v>
      </c>
      <c r="B331">
        <v>2021</v>
      </c>
      <c r="C331">
        <v>2</v>
      </c>
      <c r="D331" s="1" t="s">
        <v>32</v>
      </c>
      <c r="E331">
        <v>25.93</v>
      </c>
      <c r="F331">
        <v>31.68</v>
      </c>
      <c r="G331">
        <v>81.900000000000006</v>
      </c>
    </row>
    <row r="332" spans="1:7" x14ac:dyDescent="0.25">
      <c r="A332" s="2">
        <v>44256</v>
      </c>
      <c r="B332">
        <v>2021</v>
      </c>
      <c r="C332">
        <v>3</v>
      </c>
      <c r="D332" s="1" t="s">
        <v>32</v>
      </c>
      <c r="E332">
        <v>27.85</v>
      </c>
      <c r="F332">
        <v>34.68</v>
      </c>
      <c r="G332">
        <v>80.3</v>
      </c>
    </row>
    <row r="333" spans="1:7" x14ac:dyDescent="0.25">
      <c r="A333" s="2">
        <v>44287</v>
      </c>
      <c r="B333">
        <v>2021</v>
      </c>
      <c r="C333">
        <v>4</v>
      </c>
      <c r="D333" s="1" t="s">
        <v>32</v>
      </c>
      <c r="E333">
        <v>28.87</v>
      </c>
      <c r="F333">
        <v>35.01</v>
      </c>
      <c r="G333">
        <v>82.4</v>
      </c>
    </row>
    <row r="334" spans="1:7" x14ac:dyDescent="0.25">
      <c r="A334" s="2">
        <v>44317</v>
      </c>
      <c r="B334">
        <v>2021</v>
      </c>
      <c r="C334">
        <v>5</v>
      </c>
      <c r="D334" s="1" t="s">
        <v>32</v>
      </c>
      <c r="E334">
        <v>33.75</v>
      </c>
      <c r="F334">
        <v>40.83</v>
      </c>
      <c r="G334">
        <v>82.7</v>
      </c>
    </row>
    <row r="335" spans="1:7" x14ac:dyDescent="0.25">
      <c r="A335" s="2">
        <v>44348</v>
      </c>
      <c r="B335">
        <v>2021</v>
      </c>
      <c r="C335">
        <v>6</v>
      </c>
      <c r="D335" s="1" t="s">
        <v>32</v>
      </c>
      <c r="E335">
        <v>35.75</v>
      </c>
      <c r="F335">
        <v>42.88</v>
      </c>
      <c r="G335">
        <v>83.4</v>
      </c>
    </row>
    <row r="336" spans="1:7" x14ac:dyDescent="0.25">
      <c r="A336" s="2">
        <v>44378</v>
      </c>
      <c r="B336">
        <v>2021</v>
      </c>
      <c r="C336">
        <v>7</v>
      </c>
      <c r="D336" s="1" t="s">
        <v>32</v>
      </c>
      <c r="E336">
        <v>85.91</v>
      </c>
      <c r="F336">
        <v>106.12</v>
      </c>
      <c r="G336">
        <v>81</v>
      </c>
    </row>
    <row r="337" spans="1:7" x14ac:dyDescent="0.25">
      <c r="A337" s="2">
        <v>44409</v>
      </c>
      <c r="B337">
        <v>2021</v>
      </c>
      <c r="C337">
        <v>8</v>
      </c>
      <c r="D337" s="1" t="s">
        <v>32</v>
      </c>
      <c r="E337">
        <v>57.98</v>
      </c>
      <c r="F337">
        <v>68.53</v>
      </c>
      <c r="G337">
        <v>84.6</v>
      </c>
    </row>
    <row r="338" spans="1:7" x14ac:dyDescent="0.25">
      <c r="A338" s="2">
        <v>44440</v>
      </c>
      <c r="B338">
        <v>2021</v>
      </c>
      <c r="C338">
        <v>9</v>
      </c>
      <c r="D338" s="1" t="s">
        <v>32</v>
      </c>
      <c r="E338">
        <v>61.25</v>
      </c>
      <c r="F338">
        <v>73.61</v>
      </c>
      <c r="G338">
        <v>83.2</v>
      </c>
    </row>
    <row r="339" spans="1:7" x14ac:dyDescent="0.25">
      <c r="A339" s="2">
        <v>44470</v>
      </c>
      <c r="B339">
        <v>2021</v>
      </c>
      <c r="C339">
        <v>10</v>
      </c>
      <c r="D339" s="1" t="s">
        <v>32</v>
      </c>
      <c r="E339">
        <v>60.84</v>
      </c>
      <c r="F339">
        <v>69.430000000000007</v>
      </c>
      <c r="G339">
        <v>87.6</v>
      </c>
    </row>
    <row r="340" spans="1:7" x14ac:dyDescent="0.25">
      <c r="A340" s="2">
        <v>44501</v>
      </c>
      <c r="B340">
        <v>2021</v>
      </c>
      <c r="C340">
        <v>11</v>
      </c>
      <c r="D340" s="1" t="s">
        <v>32</v>
      </c>
      <c r="E340">
        <v>53.05</v>
      </c>
      <c r="F340">
        <v>65.89</v>
      </c>
      <c r="G340">
        <v>80.5</v>
      </c>
    </row>
    <row r="341" spans="1:7" x14ac:dyDescent="0.25">
      <c r="A341" s="2">
        <v>44531</v>
      </c>
      <c r="B341">
        <v>2021</v>
      </c>
      <c r="C341">
        <v>12</v>
      </c>
      <c r="D341" s="1" t="s">
        <v>32</v>
      </c>
      <c r="E341">
        <v>51.92</v>
      </c>
      <c r="F341">
        <v>64.650000000000006</v>
      </c>
      <c r="G341">
        <v>80.3</v>
      </c>
    </row>
    <row r="342" spans="1:7" x14ac:dyDescent="0.25">
      <c r="A342" s="2">
        <v>44562</v>
      </c>
      <c r="B342">
        <v>2022</v>
      </c>
      <c r="C342">
        <v>1</v>
      </c>
      <c r="D342" s="1" t="s">
        <v>32</v>
      </c>
      <c r="E342">
        <v>75.819999999999993</v>
      </c>
      <c r="F342">
        <v>93.14</v>
      </c>
      <c r="G342">
        <v>81.400000000000006</v>
      </c>
    </row>
    <row r="343" spans="1:7" x14ac:dyDescent="0.25">
      <c r="A343" s="2">
        <v>44593</v>
      </c>
      <c r="B343">
        <v>2022</v>
      </c>
      <c r="C343">
        <v>2</v>
      </c>
      <c r="D343" s="1" t="s">
        <v>32</v>
      </c>
      <c r="E343">
        <v>74.819999999999993</v>
      </c>
      <c r="F343">
        <v>90.5</v>
      </c>
      <c r="G343">
        <v>82.7</v>
      </c>
    </row>
    <row r="344" spans="1:7" x14ac:dyDescent="0.25">
      <c r="A344" s="2">
        <v>44621</v>
      </c>
      <c r="B344">
        <v>2022</v>
      </c>
      <c r="C344">
        <v>3</v>
      </c>
      <c r="D344" s="1" t="s">
        <v>32</v>
      </c>
      <c r="E344">
        <v>80.680000000000007</v>
      </c>
      <c r="F344">
        <v>97.25</v>
      </c>
      <c r="G344">
        <v>83</v>
      </c>
    </row>
    <row r="345" spans="1:7" x14ac:dyDescent="0.25">
      <c r="A345" s="2">
        <v>44652</v>
      </c>
      <c r="B345">
        <v>2022</v>
      </c>
      <c r="C345">
        <v>4</v>
      </c>
      <c r="D345" s="1" t="s">
        <v>32</v>
      </c>
      <c r="E345">
        <v>88.17</v>
      </c>
      <c r="F345">
        <v>105.96</v>
      </c>
      <c r="G345">
        <v>83.2</v>
      </c>
    </row>
    <row r="346" spans="1:7" x14ac:dyDescent="0.25">
      <c r="A346" s="2">
        <v>44682</v>
      </c>
      <c r="B346">
        <v>2022</v>
      </c>
      <c r="C346">
        <v>5</v>
      </c>
      <c r="D346" s="1" t="s">
        <v>32</v>
      </c>
      <c r="E346">
        <v>94.11</v>
      </c>
      <c r="F346">
        <v>109.12</v>
      </c>
      <c r="G346">
        <v>86.2</v>
      </c>
    </row>
    <row r="347" spans="1:7" x14ac:dyDescent="0.25">
      <c r="A347" s="2">
        <v>44713</v>
      </c>
      <c r="B347">
        <v>2022</v>
      </c>
      <c r="C347">
        <v>6</v>
      </c>
      <c r="D347" s="1" t="s">
        <v>32</v>
      </c>
      <c r="E347">
        <v>104.42</v>
      </c>
      <c r="F347">
        <v>133.41</v>
      </c>
      <c r="G347">
        <v>78.3</v>
      </c>
    </row>
    <row r="348" spans="1:7" x14ac:dyDescent="0.25">
      <c r="A348" s="2">
        <v>44743</v>
      </c>
      <c r="B348">
        <v>2022</v>
      </c>
      <c r="C348">
        <v>7</v>
      </c>
      <c r="D348" s="1" t="s">
        <v>32</v>
      </c>
      <c r="E348">
        <v>107.18</v>
      </c>
      <c r="F348">
        <v>136.5</v>
      </c>
      <c r="G348">
        <v>78.5</v>
      </c>
    </row>
    <row r="349" spans="1:7" x14ac:dyDescent="0.25">
      <c r="A349" s="2">
        <v>44774</v>
      </c>
      <c r="B349">
        <v>2022</v>
      </c>
      <c r="C349">
        <v>8</v>
      </c>
      <c r="D349" s="1" t="s">
        <v>32</v>
      </c>
      <c r="E349">
        <v>113.96</v>
      </c>
      <c r="F349">
        <v>139.38999999999999</v>
      </c>
      <c r="G349">
        <v>81.8</v>
      </c>
    </row>
    <row r="350" spans="1:7" x14ac:dyDescent="0.25">
      <c r="A350" s="2">
        <v>44805</v>
      </c>
      <c r="B350">
        <v>2022</v>
      </c>
      <c r="C350">
        <v>9</v>
      </c>
      <c r="D350" s="1" t="s">
        <v>32</v>
      </c>
      <c r="E350">
        <v>111.79</v>
      </c>
      <c r="F350">
        <v>129.94999999999999</v>
      </c>
      <c r="G350">
        <v>86</v>
      </c>
    </row>
    <row r="351" spans="1:7" x14ac:dyDescent="0.25">
      <c r="A351" s="2">
        <v>44835</v>
      </c>
      <c r="B351">
        <v>2022</v>
      </c>
      <c r="C351">
        <v>10</v>
      </c>
      <c r="D351" s="1" t="s">
        <v>32</v>
      </c>
      <c r="E351">
        <v>111.06</v>
      </c>
      <c r="F351">
        <v>133.08000000000001</v>
      </c>
      <c r="G351">
        <v>83.5</v>
      </c>
    </row>
    <row r="352" spans="1:7" x14ac:dyDescent="0.25">
      <c r="A352" s="2">
        <v>44866</v>
      </c>
      <c r="B352">
        <v>2022</v>
      </c>
      <c r="C352">
        <v>11</v>
      </c>
      <c r="D352" s="1" t="s">
        <v>32</v>
      </c>
      <c r="E352">
        <v>100.08</v>
      </c>
      <c r="F352">
        <v>125.1</v>
      </c>
      <c r="G352">
        <v>80</v>
      </c>
    </row>
    <row r="353" spans="1:7" x14ac:dyDescent="0.25">
      <c r="A353" s="2">
        <v>44896</v>
      </c>
      <c r="B353">
        <v>2022</v>
      </c>
      <c r="C353">
        <v>12</v>
      </c>
      <c r="D353" s="1" t="s">
        <v>32</v>
      </c>
      <c r="E353">
        <v>96.5</v>
      </c>
      <c r="F353">
        <v>117.19</v>
      </c>
      <c r="G353">
        <v>82.3</v>
      </c>
    </row>
    <row r="354" spans="1:7" x14ac:dyDescent="0.25">
      <c r="A354" s="2">
        <v>44927</v>
      </c>
      <c r="B354">
        <v>2023</v>
      </c>
      <c r="C354">
        <v>1</v>
      </c>
      <c r="D354" s="1" t="s">
        <v>32</v>
      </c>
      <c r="E354">
        <v>86.82</v>
      </c>
      <c r="F354">
        <v>106.35</v>
      </c>
      <c r="G354">
        <v>81.599999999999994</v>
      </c>
    </row>
    <row r="355" spans="1:7" x14ac:dyDescent="0.25">
      <c r="A355" s="2">
        <v>44958</v>
      </c>
      <c r="B355">
        <v>2023</v>
      </c>
      <c r="C355">
        <v>2</v>
      </c>
      <c r="D355" s="1" t="s">
        <v>32</v>
      </c>
      <c r="E355">
        <v>90.81</v>
      </c>
      <c r="F355">
        <v>111.33</v>
      </c>
      <c r="G355">
        <v>81.599999999999994</v>
      </c>
    </row>
    <row r="356" spans="1:7" x14ac:dyDescent="0.25">
      <c r="A356" s="2">
        <v>44986</v>
      </c>
      <c r="B356">
        <v>2023</v>
      </c>
      <c r="C356">
        <v>3</v>
      </c>
      <c r="D356" s="1" t="s">
        <v>32</v>
      </c>
      <c r="E356">
        <v>91.78</v>
      </c>
      <c r="F356">
        <v>113.41</v>
      </c>
      <c r="G356">
        <v>80.900000000000006</v>
      </c>
    </row>
    <row r="357" spans="1:7" x14ac:dyDescent="0.25">
      <c r="A357" s="2">
        <v>45017</v>
      </c>
      <c r="B357">
        <v>2023</v>
      </c>
      <c r="C357">
        <v>4</v>
      </c>
      <c r="D357" s="1" t="s">
        <v>32</v>
      </c>
      <c r="E357">
        <v>100.64</v>
      </c>
      <c r="F357">
        <v>122.46</v>
      </c>
      <c r="G357">
        <v>82.2</v>
      </c>
    </row>
    <row r="358" spans="1:7" x14ac:dyDescent="0.25">
      <c r="A358" s="2">
        <v>45047</v>
      </c>
      <c r="B358">
        <v>2023</v>
      </c>
      <c r="C358">
        <v>5</v>
      </c>
      <c r="D358" s="1" t="s">
        <v>32</v>
      </c>
      <c r="E358">
        <v>112.69</v>
      </c>
      <c r="F358">
        <v>133.9</v>
      </c>
      <c r="G358">
        <v>84.2</v>
      </c>
    </row>
    <row r="359" spans="1:7" x14ac:dyDescent="0.25">
      <c r="A359" s="2">
        <v>45078</v>
      </c>
      <c r="B359">
        <v>2023</v>
      </c>
      <c r="C359">
        <v>6</v>
      </c>
      <c r="D359" s="1" t="s">
        <v>32</v>
      </c>
      <c r="E359">
        <v>119.3</v>
      </c>
      <c r="F359">
        <v>147.12</v>
      </c>
      <c r="G359">
        <v>81.099999999999994</v>
      </c>
    </row>
    <row r="360" spans="1:7" x14ac:dyDescent="0.25">
      <c r="A360" s="2">
        <v>45108</v>
      </c>
      <c r="B360">
        <v>2023</v>
      </c>
      <c r="C360">
        <v>7</v>
      </c>
      <c r="D360" s="1" t="s">
        <v>32</v>
      </c>
      <c r="E360">
        <v>129.65</v>
      </c>
      <c r="F360">
        <v>155.79</v>
      </c>
      <c r="G360">
        <v>83.2</v>
      </c>
    </row>
    <row r="361" spans="1:7" x14ac:dyDescent="0.25">
      <c r="A361" s="2">
        <v>45139</v>
      </c>
      <c r="B361">
        <v>2023</v>
      </c>
      <c r="C361">
        <v>8</v>
      </c>
      <c r="D361" s="1" t="s">
        <v>32</v>
      </c>
      <c r="E361">
        <v>130.02000000000001</v>
      </c>
      <c r="F361">
        <v>155.56</v>
      </c>
      <c r="G361">
        <v>83.6</v>
      </c>
    </row>
    <row r="362" spans="1:7" x14ac:dyDescent="0.25">
      <c r="A362" s="2">
        <v>45170</v>
      </c>
      <c r="B362">
        <v>2023</v>
      </c>
      <c r="C362">
        <v>9</v>
      </c>
      <c r="D362" s="1" t="s">
        <v>32</v>
      </c>
      <c r="E362">
        <v>134.78</v>
      </c>
      <c r="F362">
        <v>159.35</v>
      </c>
      <c r="G362">
        <v>84.6</v>
      </c>
    </row>
    <row r="363" spans="1:7" x14ac:dyDescent="0.25">
      <c r="A363" s="2">
        <v>45200</v>
      </c>
      <c r="B363">
        <v>2023</v>
      </c>
      <c r="C363">
        <v>10</v>
      </c>
      <c r="D363" s="1" t="s">
        <v>32</v>
      </c>
      <c r="E363">
        <v>132.81</v>
      </c>
      <c r="F363">
        <v>165.46</v>
      </c>
      <c r="G363">
        <v>80.3</v>
      </c>
    </row>
    <row r="364" spans="1:7" x14ac:dyDescent="0.25">
      <c r="A364" s="2">
        <v>45231</v>
      </c>
      <c r="B364">
        <v>2023</v>
      </c>
      <c r="C364">
        <v>11</v>
      </c>
      <c r="D364" s="1" t="s">
        <v>32</v>
      </c>
      <c r="E364">
        <v>118.47</v>
      </c>
      <c r="F364">
        <v>144.43</v>
      </c>
      <c r="G364">
        <v>82</v>
      </c>
    </row>
    <row r="365" spans="1:7" x14ac:dyDescent="0.25">
      <c r="A365" s="2">
        <v>45261</v>
      </c>
      <c r="B365">
        <v>2023</v>
      </c>
      <c r="C365">
        <v>12</v>
      </c>
      <c r="D365" s="1" t="s">
        <v>32</v>
      </c>
      <c r="E365">
        <v>110.4</v>
      </c>
      <c r="F365">
        <v>136.81</v>
      </c>
      <c r="G365">
        <v>80.7</v>
      </c>
    </row>
    <row r="366" spans="1:7" x14ac:dyDescent="0.25">
      <c r="A366" s="2">
        <v>45292</v>
      </c>
      <c r="B366">
        <v>2024</v>
      </c>
      <c r="C366">
        <v>1</v>
      </c>
      <c r="D366" s="1" t="s">
        <v>32</v>
      </c>
      <c r="E366">
        <v>100.69</v>
      </c>
      <c r="F366">
        <v>122.52</v>
      </c>
      <c r="G366">
        <v>82.2</v>
      </c>
    </row>
    <row r="367" spans="1:7" x14ac:dyDescent="0.25">
      <c r="A367" s="2">
        <v>45323</v>
      </c>
      <c r="B367">
        <v>2024</v>
      </c>
      <c r="C367">
        <v>2</v>
      </c>
      <c r="D367" s="1" t="s">
        <v>32</v>
      </c>
      <c r="E367">
        <v>100.82</v>
      </c>
      <c r="F367">
        <v>122.69</v>
      </c>
      <c r="G367">
        <v>82.2</v>
      </c>
    </row>
    <row r="368" spans="1:7" x14ac:dyDescent="0.25">
      <c r="A368" s="2">
        <v>45352</v>
      </c>
      <c r="B368">
        <v>2024</v>
      </c>
      <c r="C368">
        <v>3</v>
      </c>
      <c r="D368" s="1" t="s">
        <v>32</v>
      </c>
      <c r="E368">
        <v>103.44</v>
      </c>
      <c r="F368">
        <v>129.62</v>
      </c>
      <c r="G368">
        <v>79.8</v>
      </c>
    </row>
    <row r="369" spans="1:7" x14ac:dyDescent="0.25">
      <c r="A369" s="2">
        <v>45383</v>
      </c>
      <c r="B369">
        <v>2024</v>
      </c>
      <c r="C369">
        <v>4</v>
      </c>
      <c r="D369" s="1" t="s">
        <v>32</v>
      </c>
      <c r="E369">
        <v>113.76</v>
      </c>
      <c r="F369">
        <v>138.22999999999999</v>
      </c>
      <c r="G369">
        <v>82.3</v>
      </c>
    </row>
    <row r="370" spans="1:7" x14ac:dyDescent="0.25">
      <c r="A370" s="2">
        <v>45413</v>
      </c>
      <c r="B370">
        <v>2024</v>
      </c>
      <c r="C370">
        <v>5</v>
      </c>
      <c r="D370" s="1" t="s">
        <v>32</v>
      </c>
      <c r="E370">
        <v>124.65</v>
      </c>
      <c r="F370">
        <v>144.32</v>
      </c>
      <c r="G370">
        <v>86.4</v>
      </c>
    </row>
    <row r="371" spans="1:7" x14ac:dyDescent="0.25">
      <c r="A371" s="2">
        <v>45444</v>
      </c>
      <c r="B371">
        <v>2024</v>
      </c>
      <c r="C371">
        <v>6</v>
      </c>
      <c r="D371" s="1" t="s">
        <v>32</v>
      </c>
      <c r="E371">
        <v>133.19</v>
      </c>
      <c r="F371">
        <v>160.53</v>
      </c>
      <c r="G371">
        <v>83</v>
      </c>
    </row>
    <row r="372" spans="1:7" x14ac:dyDescent="0.25">
      <c r="A372" s="2">
        <v>45474</v>
      </c>
      <c r="B372">
        <v>2024</v>
      </c>
      <c r="C372">
        <v>7</v>
      </c>
      <c r="D372" s="1" t="s">
        <v>32</v>
      </c>
      <c r="E372">
        <v>134.83000000000001</v>
      </c>
      <c r="F372">
        <v>169.76</v>
      </c>
      <c r="G372">
        <v>79.400000000000006</v>
      </c>
    </row>
    <row r="373" spans="1:7" x14ac:dyDescent="0.25">
      <c r="A373" s="2">
        <v>45505</v>
      </c>
      <c r="B373">
        <v>2024</v>
      </c>
      <c r="C373">
        <v>8</v>
      </c>
      <c r="D373" s="1" t="s">
        <v>32</v>
      </c>
      <c r="E373">
        <v>149.08000000000001</v>
      </c>
      <c r="F373">
        <v>186</v>
      </c>
      <c r="G373">
        <v>80.2</v>
      </c>
    </row>
    <row r="374" spans="1:7" x14ac:dyDescent="0.25">
      <c r="A374" s="2">
        <v>45536</v>
      </c>
      <c r="B374">
        <v>2024</v>
      </c>
      <c r="C374">
        <v>9</v>
      </c>
      <c r="D374" s="1" t="s">
        <v>32</v>
      </c>
      <c r="E374">
        <v>135.79</v>
      </c>
      <c r="F374">
        <v>165.75</v>
      </c>
      <c r="G374">
        <v>81.900000000000006</v>
      </c>
    </row>
    <row r="375" spans="1:7" x14ac:dyDescent="0.25">
      <c r="A375" s="2">
        <v>45566</v>
      </c>
      <c r="B375">
        <v>2024</v>
      </c>
      <c r="C375">
        <v>10</v>
      </c>
      <c r="D375" s="1" t="s">
        <v>32</v>
      </c>
      <c r="E375">
        <v>133.34</v>
      </c>
      <c r="F375">
        <v>166.27</v>
      </c>
      <c r="G375">
        <v>80.2</v>
      </c>
    </row>
    <row r="376" spans="1:7" x14ac:dyDescent="0.25">
      <c r="A376" s="2">
        <v>45597</v>
      </c>
      <c r="B376">
        <v>2024</v>
      </c>
      <c r="C376">
        <v>11</v>
      </c>
      <c r="D376" s="1" t="s">
        <v>32</v>
      </c>
      <c r="E376">
        <v>123.61</v>
      </c>
      <c r="F376">
        <v>146.36000000000001</v>
      </c>
      <c r="G376">
        <v>84.5</v>
      </c>
    </row>
    <row r="377" spans="1:7" x14ac:dyDescent="0.25">
      <c r="A377" s="2">
        <v>45627</v>
      </c>
      <c r="B377">
        <v>2024</v>
      </c>
      <c r="C377">
        <v>12</v>
      </c>
      <c r="D377" s="1" t="s">
        <v>32</v>
      </c>
      <c r="E377">
        <v>112.98</v>
      </c>
      <c r="F377">
        <v>142.62</v>
      </c>
      <c r="G377">
        <v>79.2</v>
      </c>
    </row>
    <row r="378" spans="1:7" x14ac:dyDescent="0.25">
      <c r="A378" s="2">
        <v>45658</v>
      </c>
      <c r="B378">
        <v>2025</v>
      </c>
      <c r="C378">
        <v>1</v>
      </c>
      <c r="D378" s="1" t="s">
        <v>32</v>
      </c>
      <c r="E378">
        <v>112.33</v>
      </c>
      <c r="F378">
        <v>135.36000000000001</v>
      </c>
      <c r="G378">
        <v>83</v>
      </c>
    </row>
    <row r="379" spans="1:7" x14ac:dyDescent="0.25">
      <c r="A379" s="2">
        <v>45689</v>
      </c>
      <c r="B379">
        <v>2025</v>
      </c>
      <c r="C379">
        <v>2</v>
      </c>
      <c r="D379" s="1" t="s">
        <v>32</v>
      </c>
      <c r="E379">
        <v>105.02</v>
      </c>
      <c r="F379">
        <v>133.21</v>
      </c>
      <c r="G379">
        <v>78.8</v>
      </c>
    </row>
    <row r="380" spans="1:7" x14ac:dyDescent="0.25">
      <c r="A380" s="2">
        <v>45717</v>
      </c>
      <c r="B380">
        <v>2025</v>
      </c>
      <c r="C380">
        <v>3</v>
      </c>
      <c r="D380" s="1" t="s">
        <v>32</v>
      </c>
      <c r="E380">
        <v>107.42</v>
      </c>
      <c r="F380">
        <v>131.18</v>
      </c>
      <c r="G380">
        <v>81.900000000000006</v>
      </c>
    </row>
    <row r="381" spans="1:7" x14ac:dyDescent="0.25">
      <c r="A381" s="2">
        <v>45748</v>
      </c>
      <c r="B381">
        <v>2025</v>
      </c>
      <c r="C381">
        <v>4</v>
      </c>
      <c r="D381" s="1" t="s">
        <v>32</v>
      </c>
      <c r="E381">
        <v>121.3</v>
      </c>
      <c r="F381">
        <v>151.76</v>
      </c>
      <c r="G381">
        <v>79.900000000000006</v>
      </c>
    </row>
    <row r="382" spans="1:7" x14ac:dyDescent="0.25">
      <c r="A382" s="2">
        <v>45778</v>
      </c>
      <c r="B382">
        <v>2025</v>
      </c>
      <c r="C382">
        <v>5</v>
      </c>
      <c r="D382" s="1" t="s">
        <v>32</v>
      </c>
      <c r="E382">
        <v>126.68</v>
      </c>
      <c r="F382">
        <v>151.97999999999999</v>
      </c>
      <c r="G382">
        <v>83.4</v>
      </c>
    </row>
    <row r="383" spans="1:7" x14ac:dyDescent="0.25">
      <c r="A383" s="2">
        <v>45809</v>
      </c>
      <c r="B383">
        <v>2025</v>
      </c>
      <c r="C383">
        <v>6</v>
      </c>
      <c r="D383" s="1" t="s">
        <v>32</v>
      </c>
      <c r="E383">
        <v>127.49</v>
      </c>
      <c r="F383">
        <v>151.65</v>
      </c>
      <c r="G383">
        <v>84.1</v>
      </c>
    </row>
    <row r="384" spans="1:7" x14ac:dyDescent="0.25">
      <c r="A384" s="2">
        <v>45839</v>
      </c>
      <c r="B384">
        <v>2025</v>
      </c>
      <c r="C384">
        <v>7</v>
      </c>
      <c r="D384" s="1" t="s">
        <v>32</v>
      </c>
      <c r="E384">
        <v>139.31</v>
      </c>
      <c r="F384">
        <v>168.53</v>
      </c>
      <c r="G384">
        <v>82.7</v>
      </c>
    </row>
    <row r="385" spans="1:7" x14ac:dyDescent="0.25">
      <c r="A385" s="2">
        <v>45870</v>
      </c>
      <c r="B385">
        <v>2025</v>
      </c>
      <c r="C385">
        <v>8</v>
      </c>
      <c r="D385" s="1" t="s">
        <v>32</v>
      </c>
      <c r="E385">
        <v>148.44</v>
      </c>
      <c r="F385">
        <v>176.36</v>
      </c>
      <c r="G385">
        <v>84.2</v>
      </c>
    </row>
    <row r="386" spans="1:7" x14ac:dyDescent="0.25">
      <c r="A386" s="2">
        <v>45901</v>
      </c>
      <c r="B386">
        <v>2025</v>
      </c>
      <c r="C386">
        <v>9</v>
      </c>
      <c r="D386" s="1" t="s">
        <v>32</v>
      </c>
      <c r="E386">
        <v>147.61000000000001</v>
      </c>
      <c r="F386">
        <v>191.1</v>
      </c>
      <c r="G386">
        <v>77.2</v>
      </c>
    </row>
    <row r="387" spans="1:7" x14ac:dyDescent="0.25">
      <c r="A387" s="2">
        <v>45931</v>
      </c>
      <c r="B387">
        <v>2025</v>
      </c>
      <c r="C387">
        <v>10</v>
      </c>
      <c r="D387" s="1" t="s">
        <v>32</v>
      </c>
      <c r="E387">
        <v>135.32</v>
      </c>
      <c r="F387">
        <v>164.47</v>
      </c>
      <c r="G387">
        <v>82.3</v>
      </c>
    </row>
    <row r="388" spans="1:7" x14ac:dyDescent="0.25">
      <c r="A388" s="2">
        <v>45962</v>
      </c>
      <c r="B388">
        <v>2025</v>
      </c>
      <c r="C388">
        <v>11</v>
      </c>
      <c r="D388" s="1" t="s">
        <v>32</v>
      </c>
      <c r="E388">
        <v>128.5</v>
      </c>
      <c r="F388">
        <v>154.9</v>
      </c>
      <c r="G388">
        <v>83</v>
      </c>
    </row>
    <row r="389" spans="1:7" x14ac:dyDescent="0.25">
      <c r="A389" s="2">
        <v>45992</v>
      </c>
      <c r="B389">
        <v>2025</v>
      </c>
      <c r="C389">
        <v>12</v>
      </c>
      <c r="D389" s="1" t="s">
        <v>32</v>
      </c>
      <c r="E389">
        <v>122.78</v>
      </c>
      <c r="F389">
        <v>147.54</v>
      </c>
      <c r="G389">
        <v>83.2</v>
      </c>
    </row>
    <row r="390" spans="1:7" x14ac:dyDescent="0.25">
      <c r="A390" s="2">
        <v>46023</v>
      </c>
      <c r="B390">
        <v>2026</v>
      </c>
      <c r="C390">
        <v>1</v>
      </c>
      <c r="D390" s="1" t="s">
        <v>32</v>
      </c>
      <c r="E390">
        <v>112.39</v>
      </c>
      <c r="F390">
        <v>143.52000000000001</v>
      </c>
      <c r="G390">
        <v>78.3</v>
      </c>
    </row>
    <row r="391" spans="1:7" x14ac:dyDescent="0.25">
      <c r="A391" s="2">
        <v>46054</v>
      </c>
      <c r="B391">
        <v>2026</v>
      </c>
      <c r="C391">
        <v>2</v>
      </c>
      <c r="D391" s="1" t="s">
        <v>32</v>
      </c>
      <c r="E391">
        <v>109</v>
      </c>
      <c r="F391">
        <v>131.59</v>
      </c>
      <c r="G391">
        <v>82.8</v>
      </c>
    </row>
    <row r="392" spans="1:7" x14ac:dyDescent="0.25">
      <c r="A392" s="2">
        <v>46082</v>
      </c>
      <c r="B392">
        <v>2026</v>
      </c>
      <c r="C392">
        <v>3</v>
      </c>
      <c r="D392" s="1" t="s">
        <v>32</v>
      </c>
      <c r="E392">
        <v>109.47</v>
      </c>
      <c r="F392">
        <v>131.47999999999999</v>
      </c>
      <c r="G392">
        <v>83.3</v>
      </c>
    </row>
    <row r="393" spans="1:7" x14ac:dyDescent="0.25">
      <c r="A393" s="2">
        <v>46113</v>
      </c>
      <c r="B393">
        <v>2026</v>
      </c>
      <c r="C393">
        <v>4</v>
      </c>
      <c r="D393" s="1" t="s">
        <v>32</v>
      </c>
      <c r="E393">
        <v>123.57</v>
      </c>
      <c r="F393">
        <v>150.22999999999999</v>
      </c>
      <c r="G393">
        <v>82.3</v>
      </c>
    </row>
    <row r="394" spans="1:7" x14ac:dyDescent="0.25">
      <c r="A394" s="2">
        <v>40179</v>
      </c>
      <c r="B394">
        <v>2010</v>
      </c>
      <c r="C394">
        <v>1</v>
      </c>
      <c r="D394" s="1" t="s">
        <v>122</v>
      </c>
      <c r="E394">
        <v>61.91</v>
      </c>
      <c r="F394">
        <v>77.930000000000007</v>
      </c>
      <c r="G394">
        <v>79.400000000000006</v>
      </c>
    </row>
    <row r="395" spans="1:7" x14ac:dyDescent="0.25">
      <c r="A395" s="2">
        <v>40210</v>
      </c>
      <c r="B395">
        <v>2010</v>
      </c>
      <c r="C395">
        <v>2</v>
      </c>
      <c r="D395" s="1" t="s">
        <v>122</v>
      </c>
      <c r="E395">
        <v>70.64</v>
      </c>
      <c r="F395">
        <v>87.31</v>
      </c>
      <c r="G395">
        <v>80.900000000000006</v>
      </c>
    </row>
    <row r="396" spans="1:7" x14ac:dyDescent="0.25">
      <c r="A396" s="2">
        <v>40238</v>
      </c>
      <c r="B396">
        <v>2010</v>
      </c>
      <c r="C396">
        <v>3</v>
      </c>
      <c r="D396" s="1" t="s">
        <v>122</v>
      </c>
      <c r="E396">
        <v>64.819999999999993</v>
      </c>
      <c r="F396">
        <v>76.739999999999995</v>
      </c>
      <c r="G396">
        <v>84.5</v>
      </c>
    </row>
    <row r="397" spans="1:7" x14ac:dyDescent="0.25">
      <c r="A397" s="2">
        <v>40269</v>
      </c>
      <c r="B397">
        <v>2010</v>
      </c>
      <c r="C397">
        <v>4</v>
      </c>
      <c r="D397" s="1" t="s">
        <v>122</v>
      </c>
      <c r="E397">
        <v>73.66</v>
      </c>
      <c r="F397">
        <v>87.47</v>
      </c>
      <c r="G397">
        <v>84.2</v>
      </c>
    </row>
    <row r="398" spans="1:7" x14ac:dyDescent="0.25">
      <c r="A398" s="2">
        <v>40299</v>
      </c>
      <c r="B398">
        <v>2010</v>
      </c>
      <c r="C398">
        <v>5</v>
      </c>
      <c r="D398" s="1" t="s">
        <v>122</v>
      </c>
      <c r="E398">
        <v>80.8</v>
      </c>
      <c r="F398">
        <v>97.45</v>
      </c>
      <c r="G398">
        <v>82.9</v>
      </c>
    </row>
    <row r="399" spans="1:7" x14ac:dyDescent="0.25">
      <c r="A399" s="2">
        <v>40330</v>
      </c>
      <c r="B399">
        <v>2010</v>
      </c>
      <c r="C399">
        <v>6</v>
      </c>
      <c r="D399" s="1" t="s">
        <v>122</v>
      </c>
      <c r="E399">
        <v>87.67</v>
      </c>
      <c r="F399">
        <v>105.12</v>
      </c>
      <c r="G399">
        <v>83.4</v>
      </c>
    </row>
    <row r="400" spans="1:7" x14ac:dyDescent="0.25">
      <c r="A400" s="2">
        <v>40360</v>
      </c>
      <c r="B400">
        <v>2010</v>
      </c>
      <c r="C400">
        <v>7</v>
      </c>
      <c r="D400" s="1" t="s">
        <v>122</v>
      </c>
      <c r="E400">
        <v>98.24</v>
      </c>
      <c r="F400">
        <v>117.03</v>
      </c>
      <c r="G400">
        <v>83.9</v>
      </c>
    </row>
    <row r="401" spans="1:7" x14ac:dyDescent="0.25">
      <c r="A401" s="2">
        <v>40391</v>
      </c>
      <c r="B401">
        <v>2010</v>
      </c>
      <c r="C401">
        <v>8</v>
      </c>
      <c r="D401" s="1" t="s">
        <v>122</v>
      </c>
      <c r="E401">
        <v>89.64</v>
      </c>
      <c r="F401">
        <v>108.14</v>
      </c>
      <c r="G401">
        <v>82.9</v>
      </c>
    </row>
    <row r="402" spans="1:7" x14ac:dyDescent="0.25">
      <c r="A402" s="2">
        <v>40422</v>
      </c>
      <c r="B402">
        <v>2010</v>
      </c>
      <c r="C402">
        <v>9</v>
      </c>
      <c r="D402" s="1" t="s">
        <v>122</v>
      </c>
      <c r="E402">
        <v>96.19</v>
      </c>
      <c r="F402">
        <v>113.96</v>
      </c>
      <c r="G402">
        <v>84.4</v>
      </c>
    </row>
    <row r="403" spans="1:7" x14ac:dyDescent="0.25">
      <c r="A403" s="2">
        <v>40452</v>
      </c>
      <c r="B403">
        <v>2010</v>
      </c>
      <c r="C403">
        <v>10</v>
      </c>
      <c r="D403" s="1" t="s">
        <v>122</v>
      </c>
      <c r="E403">
        <v>87.88</v>
      </c>
      <c r="F403">
        <v>104.21</v>
      </c>
      <c r="G403">
        <v>84.3</v>
      </c>
    </row>
    <row r="404" spans="1:7" x14ac:dyDescent="0.25">
      <c r="A404" s="2">
        <v>40483</v>
      </c>
      <c r="B404">
        <v>2010</v>
      </c>
      <c r="C404">
        <v>11</v>
      </c>
      <c r="D404" s="1" t="s">
        <v>122</v>
      </c>
      <c r="E404">
        <v>85.69</v>
      </c>
      <c r="F404">
        <v>98.32</v>
      </c>
      <c r="G404">
        <v>87.1</v>
      </c>
    </row>
    <row r="405" spans="1:7" x14ac:dyDescent="0.25">
      <c r="A405" s="2">
        <v>40513</v>
      </c>
      <c r="B405">
        <v>2010</v>
      </c>
      <c r="C405">
        <v>12</v>
      </c>
      <c r="D405" s="1" t="s">
        <v>122</v>
      </c>
      <c r="E405">
        <v>75.849999999999994</v>
      </c>
      <c r="F405">
        <v>93.66</v>
      </c>
      <c r="G405">
        <v>81</v>
      </c>
    </row>
    <row r="406" spans="1:7" x14ac:dyDescent="0.25">
      <c r="A406" s="2">
        <v>40544</v>
      </c>
      <c r="B406">
        <v>2011</v>
      </c>
      <c r="C406">
        <v>1</v>
      </c>
      <c r="D406" s="1" t="s">
        <v>122</v>
      </c>
      <c r="E406">
        <v>72.760000000000005</v>
      </c>
      <c r="F406">
        <v>89.81</v>
      </c>
      <c r="G406">
        <v>81</v>
      </c>
    </row>
    <row r="407" spans="1:7" x14ac:dyDescent="0.25">
      <c r="A407" s="2">
        <v>40575</v>
      </c>
      <c r="B407">
        <v>2011</v>
      </c>
      <c r="C407">
        <v>2</v>
      </c>
      <c r="D407" s="1" t="s">
        <v>122</v>
      </c>
      <c r="E407">
        <v>70.290000000000006</v>
      </c>
      <c r="F407">
        <v>91.91</v>
      </c>
      <c r="G407">
        <v>76.5</v>
      </c>
    </row>
    <row r="408" spans="1:7" x14ac:dyDescent="0.25">
      <c r="A408" s="2">
        <v>40603</v>
      </c>
      <c r="B408">
        <v>2011</v>
      </c>
      <c r="C408">
        <v>3</v>
      </c>
      <c r="D408" s="1" t="s">
        <v>122</v>
      </c>
      <c r="E408">
        <v>73.400000000000006</v>
      </c>
      <c r="F408">
        <v>88.71</v>
      </c>
      <c r="G408">
        <v>82.7</v>
      </c>
    </row>
    <row r="409" spans="1:7" x14ac:dyDescent="0.25">
      <c r="A409" s="2">
        <v>40634</v>
      </c>
      <c r="B409">
        <v>2011</v>
      </c>
      <c r="C409">
        <v>4</v>
      </c>
      <c r="D409" s="1" t="s">
        <v>122</v>
      </c>
      <c r="E409">
        <v>78.38</v>
      </c>
      <c r="F409">
        <v>91.28</v>
      </c>
      <c r="G409">
        <v>85.9</v>
      </c>
    </row>
    <row r="410" spans="1:7" x14ac:dyDescent="0.25">
      <c r="A410" s="2">
        <v>40664</v>
      </c>
      <c r="B410">
        <v>2011</v>
      </c>
      <c r="C410">
        <v>5</v>
      </c>
      <c r="D410" s="1" t="s">
        <v>122</v>
      </c>
      <c r="E410">
        <v>86.57</v>
      </c>
      <c r="F410">
        <v>102.35</v>
      </c>
      <c r="G410">
        <v>84.6</v>
      </c>
    </row>
    <row r="411" spans="1:7" x14ac:dyDescent="0.25">
      <c r="A411" s="2">
        <v>40695</v>
      </c>
      <c r="B411">
        <v>2011</v>
      </c>
      <c r="C411">
        <v>6</v>
      </c>
      <c r="D411" s="1" t="s">
        <v>122</v>
      </c>
      <c r="E411">
        <v>94.33</v>
      </c>
      <c r="F411">
        <v>112.77</v>
      </c>
      <c r="G411">
        <v>83.7</v>
      </c>
    </row>
    <row r="412" spans="1:7" x14ac:dyDescent="0.25">
      <c r="A412" s="2">
        <v>40725</v>
      </c>
      <c r="B412">
        <v>2011</v>
      </c>
      <c r="C412">
        <v>7</v>
      </c>
      <c r="D412" s="1" t="s">
        <v>122</v>
      </c>
      <c r="E412">
        <v>99.81</v>
      </c>
      <c r="F412">
        <v>117.79</v>
      </c>
      <c r="G412">
        <v>84.7</v>
      </c>
    </row>
    <row r="413" spans="1:7" x14ac:dyDescent="0.25">
      <c r="A413" s="2">
        <v>40756</v>
      </c>
      <c r="B413">
        <v>2011</v>
      </c>
      <c r="C413">
        <v>8</v>
      </c>
      <c r="D413" s="1" t="s">
        <v>122</v>
      </c>
      <c r="E413">
        <v>101.52</v>
      </c>
      <c r="F413">
        <v>122.33</v>
      </c>
      <c r="G413">
        <v>83</v>
      </c>
    </row>
    <row r="414" spans="1:7" x14ac:dyDescent="0.25">
      <c r="A414" s="2">
        <v>40787</v>
      </c>
      <c r="B414">
        <v>2011</v>
      </c>
      <c r="C414">
        <v>9</v>
      </c>
      <c r="D414" s="1" t="s">
        <v>122</v>
      </c>
      <c r="E414">
        <v>101.29</v>
      </c>
      <c r="F414">
        <v>124.4</v>
      </c>
      <c r="G414">
        <v>81.400000000000006</v>
      </c>
    </row>
    <row r="415" spans="1:7" x14ac:dyDescent="0.25">
      <c r="A415" s="2">
        <v>40817</v>
      </c>
      <c r="B415">
        <v>2011</v>
      </c>
      <c r="C415">
        <v>10</v>
      </c>
      <c r="D415" s="1" t="s">
        <v>122</v>
      </c>
      <c r="E415">
        <v>97.06</v>
      </c>
      <c r="F415">
        <v>112.25</v>
      </c>
      <c r="G415">
        <v>86.5</v>
      </c>
    </row>
    <row r="416" spans="1:7" x14ac:dyDescent="0.25">
      <c r="A416" s="2">
        <v>40848</v>
      </c>
      <c r="B416">
        <v>2011</v>
      </c>
      <c r="C416">
        <v>11</v>
      </c>
      <c r="D416" s="1" t="s">
        <v>122</v>
      </c>
      <c r="E416">
        <v>89.01</v>
      </c>
      <c r="F416">
        <v>107.45</v>
      </c>
      <c r="G416">
        <v>82.8</v>
      </c>
    </row>
    <row r="417" spans="1:7" x14ac:dyDescent="0.25">
      <c r="A417" s="2">
        <v>40878</v>
      </c>
      <c r="B417">
        <v>2011</v>
      </c>
      <c r="C417">
        <v>12</v>
      </c>
      <c r="D417" s="1" t="s">
        <v>122</v>
      </c>
      <c r="E417">
        <v>86.71</v>
      </c>
      <c r="F417">
        <v>102.88</v>
      </c>
      <c r="G417">
        <v>84.3</v>
      </c>
    </row>
    <row r="418" spans="1:7" x14ac:dyDescent="0.25">
      <c r="A418" s="2">
        <v>40909</v>
      </c>
      <c r="B418">
        <v>2012</v>
      </c>
      <c r="C418">
        <v>1</v>
      </c>
      <c r="D418" s="1" t="s">
        <v>122</v>
      </c>
      <c r="E418">
        <v>79.03</v>
      </c>
      <c r="F418">
        <v>102.33</v>
      </c>
      <c r="G418">
        <v>77.2</v>
      </c>
    </row>
    <row r="419" spans="1:7" x14ac:dyDescent="0.25">
      <c r="A419" s="2">
        <v>40940</v>
      </c>
      <c r="B419">
        <v>2012</v>
      </c>
      <c r="C419">
        <v>2</v>
      </c>
      <c r="D419" s="1" t="s">
        <v>122</v>
      </c>
      <c r="E419">
        <v>78.849999999999994</v>
      </c>
      <c r="F419">
        <v>101.66</v>
      </c>
      <c r="G419">
        <v>77.599999999999994</v>
      </c>
    </row>
    <row r="420" spans="1:7" x14ac:dyDescent="0.25">
      <c r="A420" s="2">
        <v>40969</v>
      </c>
      <c r="B420">
        <v>2012</v>
      </c>
      <c r="C420">
        <v>3</v>
      </c>
      <c r="D420" s="1" t="s">
        <v>122</v>
      </c>
      <c r="E420">
        <v>83.54</v>
      </c>
      <c r="F420">
        <v>101.45</v>
      </c>
      <c r="G420">
        <v>82.3</v>
      </c>
    </row>
    <row r="421" spans="1:7" x14ac:dyDescent="0.25">
      <c r="A421" s="2">
        <v>41000</v>
      </c>
      <c r="B421">
        <v>2012</v>
      </c>
      <c r="C421">
        <v>4</v>
      </c>
      <c r="D421" s="1" t="s">
        <v>122</v>
      </c>
      <c r="E421">
        <v>88.07</v>
      </c>
      <c r="F421">
        <v>109.82</v>
      </c>
      <c r="G421">
        <v>80.2</v>
      </c>
    </row>
    <row r="422" spans="1:7" x14ac:dyDescent="0.25">
      <c r="A422" s="2">
        <v>41030</v>
      </c>
      <c r="B422">
        <v>2012</v>
      </c>
      <c r="C422">
        <v>5</v>
      </c>
      <c r="D422" s="1" t="s">
        <v>122</v>
      </c>
      <c r="E422">
        <v>88.7</v>
      </c>
      <c r="F422">
        <v>107.49</v>
      </c>
      <c r="G422">
        <v>82.5</v>
      </c>
    </row>
    <row r="423" spans="1:7" x14ac:dyDescent="0.25">
      <c r="A423" s="2">
        <v>41061</v>
      </c>
      <c r="B423">
        <v>2012</v>
      </c>
      <c r="C423">
        <v>6</v>
      </c>
      <c r="D423" s="1" t="s">
        <v>122</v>
      </c>
      <c r="E423">
        <v>100.38</v>
      </c>
      <c r="F423">
        <v>123.89</v>
      </c>
      <c r="G423">
        <v>81</v>
      </c>
    </row>
    <row r="424" spans="1:7" x14ac:dyDescent="0.25">
      <c r="A424" s="2">
        <v>41091</v>
      </c>
      <c r="B424">
        <v>2012</v>
      </c>
      <c r="C424">
        <v>7</v>
      </c>
      <c r="D424" s="1" t="s">
        <v>122</v>
      </c>
      <c r="E424">
        <v>106.48</v>
      </c>
      <c r="F424">
        <v>121.64</v>
      </c>
      <c r="G424">
        <v>87.5</v>
      </c>
    </row>
    <row r="425" spans="1:7" x14ac:dyDescent="0.25">
      <c r="A425" s="2">
        <v>41122</v>
      </c>
      <c r="B425">
        <v>2012</v>
      </c>
      <c r="C425">
        <v>8</v>
      </c>
      <c r="D425" s="1" t="s">
        <v>122</v>
      </c>
      <c r="E425">
        <v>111.47</v>
      </c>
      <c r="F425">
        <v>132.55000000000001</v>
      </c>
      <c r="G425">
        <v>84.1</v>
      </c>
    </row>
    <row r="426" spans="1:7" x14ac:dyDescent="0.25">
      <c r="A426" s="2">
        <v>41153</v>
      </c>
      <c r="B426">
        <v>2012</v>
      </c>
      <c r="C426">
        <v>9</v>
      </c>
      <c r="D426" s="1" t="s">
        <v>122</v>
      </c>
      <c r="E426">
        <v>110.17</v>
      </c>
      <c r="F426">
        <v>129.66999999999999</v>
      </c>
      <c r="G426">
        <v>85</v>
      </c>
    </row>
    <row r="427" spans="1:7" x14ac:dyDescent="0.25">
      <c r="A427" s="2">
        <v>41183</v>
      </c>
      <c r="B427">
        <v>2012</v>
      </c>
      <c r="C427">
        <v>10</v>
      </c>
      <c r="D427" s="1" t="s">
        <v>122</v>
      </c>
      <c r="E427">
        <v>102.19</v>
      </c>
      <c r="F427">
        <v>131.19</v>
      </c>
      <c r="G427">
        <v>77.900000000000006</v>
      </c>
    </row>
    <row r="428" spans="1:7" x14ac:dyDescent="0.25">
      <c r="A428" s="2">
        <v>41214</v>
      </c>
      <c r="B428">
        <v>2012</v>
      </c>
      <c r="C428">
        <v>11</v>
      </c>
      <c r="D428" s="1" t="s">
        <v>122</v>
      </c>
      <c r="E428">
        <v>95.59</v>
      </c>
      <c r="F428">
        <v>114.31</v>
      </c>
      <c r="G428">
        <v>83.6</v>
      </c>
    </row>
    <row r="429" spans="1:7" x14ac:dyDescent="0.25">
      <c r="A429" s="2">
        <v>41244</v>
      </c>
      <c r="B429">
        <v>2012</v>
      </c>
      <c r="C429">
        <v>12</v>
      </c>
      <c r="D429" s="1" t="s">
        <v>122</v>
      </c>
      <c r="E429">
        <v>86.85</v>
      </c>
      <c r="F429">
        <v>106.38</v>
      </c>
      <c r="G429">
        <v>81.599999999999994</v>
      </c>
    </row>
    <row r="430" spans="1:7" x14ac:dyDescent="0.25">
      <c r="A430" s="2">
        <v>41275</v>
      </c>
      <c r="B430">
        <v>2013</v>
      </c>
      <c r="C430">
        <v>1</v>
      </c>
      <c r="D430" s="1" t="s">
        <v>122</v>
      </c>
      <c r="E430">
        <v>82.84</v>
      </c>
      <c r="F430">
        <v>97.45</v>
      </c>
      <c r="G430">
        <v>85</v>
      </c>
    </row>
    <row r="431" spans="1:7" x14ac:dyDescent="0.25">
      <c r="A431" s="2">
        <v>41306</v>
      </c>
      <c r="B431">
        <v>2013</v>
      </c>
      <c r="C431">
        <v>2</v>
      </c>
      <c r="D431" s="1" t="s">
        <v>122</v>
      </c>
      <c r="E431">
        <v>84.96</v>
      </c>
      <c r="F431">
        <v>101.99</v>
      </c>
      <c r="G431">
        <v>83.3</v>
      </c>
    </row>
    <row r="432" spans="1:7" x14ac:dyDescent="0.25">
      <c r="A432" s="2">
        <v>41334</v>
      </c>
      <c r="B432">
        <v>2013</v>
      </c>
      <c r="C432">
        <v>3</v>
      </c>
      <c r="D432" s="1" t="s">
        <v>122</v>
      </c>
      <c r="E432">
        <v>87.11</v>
      </c>
      <c r="F432">
        <v>106.33</v>
      </c>
      <c r="G432">
        <v>81.900000000000006</v>
      </c>
    </row>
    <row r="433" spans="1:7" x14ac:dyDescent="0.25">
      <c r="A433" s="2">
        <v>41365</v>
      </c>
      <c r="B433">
        <v>2013</v>
      </c>
      <c r="C433">
        <v>4</v>
      </c>
      <c r="D433" s="1" t="s">
        <v>122</v>
      </c>
      <c r="E433">
        <v>91.93</v>
      </c>
      <c r="F433">
        <v>115.45</v>
      </c>
      <c r="G433">
        <v>79.599999999999994</v>
      </c>
    </row>
    <row r="434" spans="1:7" x14ac:dyDescent="0.25">
      <c r="A434" s="2">
        <v>41395</v>
      </c>
      <c r="B434">
        <v>2013</v>
      </c>
      <c r="C434">
        <v>5</v>
      </c>
      <c r="D434" s="1" t="s">
        <v>122</v>
      </c>
      <c r="E434">
        <v>93.03</v>
      </c>
      <c r="F434">
        <v>113.03</v>
      </c>
      <c r="G434">
        <v>82.3</v>
      </c>
    </row>
    <row r="435" spans="1:7" x14ac:dyDescent="0.25">
      <c r="A435" s="2">
        <v>41426</v>
      </c>
      <c r="B435">
        <v>2013</v>
      </c>
      <c r="C435">
        <v>6</v>
      </c>
      <c r="D435" s="1" t="s">
        <v>122</v>
      </c>
      <c r="E435">
        <v>108.41</v>
      </c>
      <c r="F435">
        <v>128.41</v>
      </c>
      <c r="G435">
        <v>84.4</v>
      </c>
    </row>
    <row r="436" spans="1:7" x14ac:dyDescent="0.25">
      <c r="A436" s="2">
        <v>41456</v>
      </c>
      <c r="B436">
        <v>2013</v>
      </c>
      <c r="C436">
        <v>7</v>
      </c>
      <c r="D436" s="1" t="s">
        <v>122</v>
      </c>
      <c r="E436">
        <v>118.92</v>
      </c>
      <c r="F436">
        <v>139.66999999999999</v>
      </c>
      <c r="G436">
        <v>85.1</v>
      </c>
    </row>
    <row r="437" spans="1:7" x14ac:dyDescent="0.25">
      <c r="A437" s="2">
        <v>41487</v>
      </c>
      <c r="B437">
        <v>2013</v>
      </c>
      <c r="C437">
        <v>8</v>
      </c>
      <c r="D437" s="1" t="s">
        <v>122</v>
      </c>
      <c r="E437">
        <v>112.65</v>
      </c>
      <c r="F437">
        <v>138.57</v>
      </c>
      <c r="G437">
        <v>81.3</v>
      </c>
    </row>
    <row r="438" spans="1:7" x14ac:dyDescent="0.25">
      <c r="A438" s="2">
        <v>41518</v>
      </c>
      <c r="B438">
        <v>2013</v>
      </c>
      <c r="C438">
        <v>9</v>
      </c>
      <c r="D438" s="1" t="s">
        <v>122</v>
      </c>
      <c r="E438">
        <v>116.31</v>
      </c>
      <c r="F438">
        <v>133.59</v>
      </c>
      <c r="G438">
        <v>87.1</v>
      </c>
    </row>
    <row r="439" spans="1:7" x14ac:dyDescent="0.25">
      <c r="A439" s="2">
        <v>41548</v>
      </c>
      <c r="B439">
        <v>2013</v>
      </c>
      <c r="C439">
        <v>10</v>
      </c>
      <c r="D439" s="1" t="s">
        <v>122</v>
      </c>
      <c r="E439">
        <v>114.63</v>
      </c>
      <c r="F439">
        <v>136.08000000000001</v>
      </c>
      <c r="G439">
        <v>84.2</v>
      </c>
    </row>
    <row r="440" spans="1:7" x14ac:dyDescent="0.25">
      <c r="A440" s="2">
        <v>41579</v>
      </c>
      <c r="B440">
        <v>2013</v>
      </c>
      <c r="C440">
        <v>11</v>
      </c>
      <c r="D440" s="1" t="s">
        <v>122</v>
      </c>
      <c r="E440">
        <v>101.35</v>
      </c>
      <c r="F440">
        <v>126.32</v>
      </c>
      <c r="G440">
        <v>80.2</v>
      </c>
    </row>
    <row r="441" spans="1:7" x14ac:dyDescent="0.25">
      <c r="A441" s="2">
        <v>41609</v>
      </c>
      <c r="B441">
        <v>2013</v>
      </c>
      <c r="C441">
        <v>12</v>
      </c>
      <c r="D441" s="1" t="s">
        <v>122</v>
      </c>
      <c r="E441">
        <v>97.62</v>
      </c>
      <c r="F441">
        <v>122.33</v>
      </c>
      <c r="G441">
        <v>79.8</v>
      </c>
    </row>
    <row r="442" spans="1:7" x14ac:dyDescent="0.25">
      <c r="A442" s="2">
        <v>41640</v>
      </c>
      <c r="B442">
        <v>2014</v>
      </c>
      <c r="C442">
        <v>1</v>
      </c>
      <c r="D442" s="1" t="s">
        <v>122</v>
      </c>
      <c r="E442">
        <v>89.5</v>
      </c>
      <c r="F442">
        <v>109.45</v>
      </c>
      <c r="G442">
        <v>81.8</v>
      </c>
    </row>
    <row r="443" spans="1:7" x14ac:dyDescent="0.25">
      <c r="A443" s="2">
        <v>41671</v>
      </c>
      <c r="B443">
        <v>2014</v>
      </c>
      <c r="C443">
        <v>2</v>
      </c>
      <c r="D443" s="1" t="s">
        <v>122</v>
      </c>
      <c r="E443">
        <v>92.85</v>
      </c>
      <c r="F443">
        <v>114.21</v>
      </c>
      <c r="G443">
        <v>81.3</v>
      </c>
    </row>
    <row r="444" spans="1:7" x14ac:dyDescent="0.25">
      <c r="A444" s="2">
        <v>41699</v>
      </c>
      <c r="B444">
        <v>2014</v>
      </c>
      <c r="C444">
        <v>3</v>
      </c>
      <c r="D444" s="1" t="s">
        <v>122</v>
      </c>
      <c r="E444">
        <v>84.64</v>
      </c>
      <c r="F444">
        <v>101.97</v>
      </c>
      <c r="G444">
        <v>83</v>
      </c>
    </row>
    <row r="445" spans="1:7" x14ac:dyDescent="0.25">
      <c r="A445" s="2">
        <v>41730</v>
      </c>
      <c r="B445">
        <v>2014</v>
      </c>
      <c r="C445">
        <v>4</v>
      </c>
      <c r="D445" s="1" t="s">
        <v>122</v>
      </c>
      <c r="E445">
        <v>95.29</v>
      </c>
      <c r="F445">
        <v>116.09</v>
      </c>
      <c r="G445">
        <v>82.1</v>
      </c>
    </row>
    <row r="446" spans="1:7" x14ac:dyDescent="0.25">
      <c r="A446" s="2">
        <v>41760</v>
      </c>
      <c r="B446">
        <v>2014</v>
      </c>
      <c r="C446">
        <v>5</v>
      </c>
      <c r="D446" s="1" t="s">
        <v>122</v>
      </c>
      <c r="E446">
        <v>105.46</v>
      </c>
      <c r="F446">
        <v>129.47</v>
      </c>
      <c r="G446">
        <v>81.5</v>
      </c>
    </row>
    <row r="447" spans="1:7" x14ac:dyDescent="0.25">
      <c r="A447" s="2">
        <v>41791</v>
      </c>
      <c r="B447">
        <v>2014</v>
      </c>
      <c r="C447">
        <v>6</v>
      </c>
      <c r="D447" s="1" t="s">
        <v>122</v>
      </c>
      <c r="E447">
        <v>116.98</v>
      </c>
      <c r="F447">
        <v>148.19999999999999</v>
      </c>
      <c r="G447">
        <v>78.900000000000006</v>
      </c>
    </row>
    <row r="448" spans="1:7" x14ac:dyDescent="0.25">
      <c r="A448" s="2">
        <v>41821</v>
      </c>
      <c r="B448">
        <v>2014</v>
      </c>
      <c r="C448">
        <v>7</v>
      </c>
      <c r="D448" s="1" t="s">
        <v>122</v>
      </c>
      <c r="E448">
        <v>118.82</v>
      </c>
      <c r="F448">
        <v>142.52000000000001</v>
      </c>
      <c r="G448">
        <v>83.4</v>
      </c>
    </row>
    <row r="449" spans="1:7" x14ac:dyDescent="0.25">
      <c r="A449" s="2">
        <v>41852</v>
      </c>
      <c r="B449">
        <v>2014</v>
      </c>
      <c r="C449">
        <v>8</v>
      </c>
      <c r="D449" s="1" t="s">
        <v>122</v>
      </c>
      <c r="E449">
        <v>121.18</v>
      </c>
      <c r="F449">
        <v>153.82</v>
      </c>
      <c r="G449">
        <v>78.8</v>
      </c>
    </row>
    <row r="450" spans="1:7" x14ac:dyDescent="0.25">
      <c r="A450" s="2">
        <v>41883</v>
      </c>
      <c r="B450">
        <v>2014</v>
      </c>
      <c r="C450">
        <v>9</v>
      </c>
      <c r="D450" s="1" t="s">
        <v>122</v>
      </c>
      <c r="E450">
        <v>124.35</v>
      </c>
      <c r="F450">
        <v>147.6</v>
      </c>
      <c r="G450">
        <v>84.2</v>
      </c>
    </row>
    <row r="451" spans="1:7" x14ac:dyDescent="0.25">
      <c r="A451" s="2">
        <v>41913</v>
      </c>
      <c r="B451">
        <v>2014</v>
      </c>
      <c r="C451">
        <v>10</v>
      </c>
      <c r="D451" s="1" t="s">
        <v>122</v>
      </c>
      <c r="E451">
        <v>116.37</v>
      </c>
      <c r="F451">
        <v>149.05000000000001</v>
      </c>
      <c r="G451">
        <v>78.099999999999994</v>
      </c>
    </row>
    <row r="452" spans="1:7" x14ac:dyDescent="0.25">
      <c r="A452" s="2">
        <v>41944</v>
      </c>
      <c r="B452">
        <v>2014</v>
      </c>
      <c r="C452">
        <v>11</v>
      </c>
      <c r="D452" s="1" t="s">
        <v>122</v>
      </c>
      <c r="E452">
        <v>111.27</v>
      </c>
      <c r="F452">
        <v>141.41</v>
      </c>
      <c r="G452">
        <v>78.7</v>
      </c>
    </row>
    <row r="453" spans="1:7" x14ac:dyDescent="0.25">
      <c r="A453" s="2">
        <v>41974</v>
      </c>
      <c r="B453">
        <v>2014</v>
      </c>
      <c r="C453">
        <v>12</v>
      </c>
      <c r="D453" s="1" t="s">
        <v>122</v>
      </c>
      <c r="E453">
        <v>102.2</v>
      </c>
      <c r="F453">
        <v>127.39</v>
      </c>
      <c r="G453">
        <v>80.2</v>
      </c>
    </row>
    <row r="454" spans="1:7" x14ac:dyDescent="0.25">
      <c r="A454" s="2">
        <v>42005</v>
      </c>
      <c r="B454">
        <v>2015</v>
      </c>
      <c r="C454">
        <v>1</v>
      </c>
      <c r="D454" s="1" t="s">
        <v>122</v>
      </c>
      <c r="E454">
        <v>92.44</v>
      </c>
      <c r="F454">
        <v>113.96</v>
      </c>
      <c r="G454">
        <v>81.099999999999994</v>
      </c>
    </row>
    <row r="455" spans="1:7" x14ac:dyDescent="0.25">
      <c r="A455" s="2">
        <v>42036</v>
      </c>
      <c r="B455">
        <v>2015</v>
      </c>
      <c r="C455">
        <v>2</v>
      </c>
      <c r="D455" s="1" t="s">
        <v>122</v>
      </c>
      <c r="E455">
        <v>93.73</v>
      </c>
      <c r="F455">
        <v>116.13</v>
      </c>
      <c r="G455">
        <v>80.7</v>
      </c>
    </row>
    <row r="456" spans="1:7" x14ac:dyDescent="0.25">
      <c r="A456" s="2">
        <v>42064</v>
      </c>
      <c r="B456">
        <v>2015</v>
      </c>
      <c r="C456">
        <v>3</v>
      </c>
      <c r="D456" s="1" t="s">
        <v>122</v>
      </c>
      <c r="E456">
        <v>98.97</v>
      </c>
      <c r="F456">
        <v>122.02</v>
      </c>
      <c r="G456">
        <v>81.099999999999994</v>
      </c>
    </row>
    <row r="457" spans="1:7" x14ac:dyDescent="0.25">
      <c r="A457" s="2">
        <v>42095</v>
      </c>
      <c r="B457">
        <v>2015</v>
      </c>
      <c r="C457">
        <v>4</v>
      </c>
      <c r="D457" s="1" t="s">
        <v>122</v>
      </c>
      <c r="E457">
        <v>107.29</v>
      </c>
      <c r="F457">
        <v>129.94999999999999</v>
      </c>
      <c r="G457">
        <v>82.6</v>
      </c>
    </row>
    <row r="458" spans="1:7" x14ac:dyDescent="0.25">
      <c r="A458" s="2">
        <v>42125</v>
      </c>
      <c r="B458">
        <v>2015</v>
      </c>
      <c r="C458">
        <v>5</v>
      </c>
      <c r="D458" s="1" t="s">
        <v>122</v>
      </c>
      <c r="E458">
        <v>111.15</v>
      </c>
      <c r="F458">
        <v>138.47</v>
      </c>
      <c r="G458">
        <v>80.3</v>
      </c>
    </row>
    <row r="459" spans="1:7" x14ac:dyDescent="0.25">
      <c r="A459" s="2">
        <v>42156</v>
      </c>
      <c r="B459">
        <v>2015</v>
      </c>
      <c r="C459">
        <v>6</v>
      </c>
      <c r="D459" s="1" t="s">
        <v>122</v>
      </c>
      <c r="E459">
        <v>117.02</v>
      </c>
      <c r="F459">
        <v>141.71</v>
      </c>
      <c r="G459">
        <v>82.6</v>
      </c>
    </row>
    <row r="460" spans="1:7" x14ac:dyDescent="0.25">
      <c r="A460" s="2">
        <v>42186</v>
      </c>
      <c r="B460">
        <v>2015</v>
      </c>
      <c r="C460">
        <v>7</v>
      </c>
      <c r="D460" s="1" t="s">
        <v>122</v>
      </c>
      <c r="E460">
        <v>128.84</v>
      </c>
      <c r="F460">
        <v>166.78</v>
      </c>
      <c r="G460">
        <v>77.3</v>
      </c>
    </row>
    <row r="461" spans="1:7" x14ac:dyDescent="0.25">
      <c r="A461" s="2">
        <v>42217</v>
      </c>
      <c r="B461">
        <v>2015</v>
      </c>
      <c r="C461">
        <v>8</v>
      </c>
      <c r="D461" s="1" t="s">
        <v>122</v>
      </c>
      <c r="E461">
        <v>131.41</v>
      </c>
      <c r="F461">
        <v>163.86</v>
      </c>
      <c r="G461">
        <v>80.2</v>
      </c>
    </row>
    <row r="462" spans="1:7" x14ac:dyDescent="0.25">
      <c r="A462" s="2">
        <v>42248</v>
      </c>
      <c r="B462">
        <v>2015</v>
      </c>
      <c r="C462">
        <v>9</v>
      </c>
      <c r="D462" s="1" t="s">
        <v>122</v>
      </c>
      <c r="E462">
        <v>138.6</v>
      </c>
      <c r="F462">
        <v>176.35</v>
      </c>
      <c r="G462">
        <v>78.599999999999994</v>
      </c>
    </row>
    <row r="463" spans="1:7" x14ac:dyDescent="0.25">
      <c r="A463" s="2">
        <v>42278</v>
      </c>
      <c r="B463">
        <v>2015</v>
      </c>
      <c r="C463">
        <v>10</v>
      </c>
      <c r="D463" s="1" t="s">
        <v>122</v>
      </c>
      <c r="E463">
        <v>121.35</v>
      </c>
      <c r="F463">
        <v>144.09</v>
      </c>
      <c r="G463">
        <v>84.2</v>
      </c>
    </row>
    <row r="464" spans="1:7" x14ac:dyDescent="0.25">
      <c r="A464" s="2">
        <v>42309</v>
      </c>
      <c r="B464">
        <v>2015</v>
      </c>
      <c r="C464">
        <v>11</v>
      </c>
      <c r="D464" s="1" t="s">
        <v>122</v>
      </c>
      <c r="E464">
        <v>123.68</v>
      </c>
      <c r="F464">
        <v>153.62</v>
      </c>
      <c r="G464">
        <v>80.5</v>
      </c>
    </row>
    <row r="465" spans="1:7" x14ac:dyDescent="0.25">
      <c r="A465" s="2">
        <v>42339</v>
      </c>
      <c r="B465">
        <v>2015</v>
      </c>
      <c r="C465">
        <v>12</v>
      </c>
      <c r="D465" s="1" t="s">
        <v>122</v>
      </c>
      <c r="E465">
        <v>108.57</v>
      </c>
      <c r="F465">
        <v>130.44999999999999</v>
      </c>
      <c r="G465">
        <v>83.2</v>
      </c>
    </row>
    <row r="466" spans="1:7" x14ac:dyDescent="0.25">
      <c r="A466" s="2">
        <v>42370</v>
      </c>
      <c r="B466">
        <v>2016</v>
      </c>
      <c r="C466">
        <v>1</v>
      </c>
      <c r="D466" s="1" t="s">
        <v>122</v>
      </c>
      <c r="E466">
        <v>97.78</v>
      </c>
      <c r="F466">
        <v>124.91</v>
      </c>
      <c r="G466">
        <v>78.3</v>
      </c>
    </row>
    <row r="467" spans="1:7" x14ac:dyDescent="0.25">
      <c r="A467" s="2">
        <v>42401</v>
      </c>
      <c r="B467">
        <v>2016</v>
      </c>
      <c r="C467">
        <v>2</v>
      </c>
      <c r="D467" s="1" t="s">
        <v>122</v>
      </c>
      <c r="E467">
        <v>102.3</v>
      </c>
      <c r="F467">
        <v>120.22</v>
      </c>
      <c r="G467">
        <v>85.1</v>
      </c>
    </row>
    <row r="468" spans="1:7" x14ac:dyDescent="0.25">
      <c r="A468" s="2">
        <v>42430</v>
      </c>
      <c r="B468">
        <v>2016</v>
      </c>
      <c r="C468">
        <v>3</v>
      </c>
      <c r="D468" s="1" t="s">
        <v>122</v>
      </c>
      <c r="E468">
        <v>104.99</v>
      </c>
      <c r="F468">
        <v>127.72</v>
      </c>
      <c r="G468">
        <v>82.2</v>
      </c>
    </row>
    <row r="469" spans="1:7" x14ac:dyDescent="0.25">
      <c r="A469" s="2">
        <v>42461</v>
      </c>
      <c r="B469">
        <v>2016</v>
      </c>
      <c r="C469">
        <v>4</v>
      </c>
      <c r="D469" s="1" t="s">
        <v>122</v>
      </c>
      <c r="E469">
        <v>117.83</v>
      </c>
      <c r="F469">
        <v>136.66999999999999</v>
      </c>
      <c r="G469">
        <v>86.2</v>
      </c>
    </row>
    <row r="470" spans="1:7" x14ac:dyDescent="0.25">
      <c r="A470" s="2">
        <v>42491</v>
      </c>
      <c r="B470">
        <v>2016</v>
      </c>
      <c r="C470">
        <v>5</v>
      </c>
      <c r="D470" s="1" t="s">
        <v>122</v>
      </c>
      <c r="E470">
        <v>121.87</v>
      </c>
      <c r="F470">
        <v>148.69</v>
      </c>
      <c r="G470">
        <v>82</v>
      </c>
    </row>
    <row r="471" spans="1:7" x14ac:dyDescent="0.25">
      <c r="A471" s="2">
        <v>42522</v>
      </c>
      <c r="B471">
        <v>2016</v>
      </c>
      <c r="C471">
        <v>6</v>
      </c>
      <c r="D471" s="1" t="s">
        <v>122</v>
      </c>
      <c r="E471">
        <v>141.78</v>
      </c>
      <c r="F471">
        <v>179.57</v>
      </c>
      <c r="G471">
        <v>79</v>
      </c>
    </row>
    <row r="472" spans="1:7" x14ac:dyDescent="0.25">
      <c r="A472" s="2">
        <v>42552</v>
      </c>
      <c r="B472">
        <v>2016</v>
      </c>
      <c r="C472">
        <v>7</v>
      </c>
      <c r="D472" s="1" t="s">
        <v>122</v>
      </c>
      <c r="E472">
        <v>146.53</v>
      </c>
      <c r="F472">
        <v>183.25</v>
      </c>
      <c r="G472">
        <v>80</v>
      </c>
    </row>
    <row r="473" spans="1:7" x14ac:dyDescent="0.25">
      <c r="A473" s="2">
        <v>42583</v>
      </c>
      <c r="B473">
        <v>2016</v>
      </c>
      <c r="C473">
        <v>8</v>
      </c>
      <c r="D473" s="1" t="s">
        <v>122</v>
      </c>
      <c r="E473">
        <v>146.07</v>
      </c>
      <c r="F473">
        <v>179.19</v>
      </c>
      <c r="G473">
        <v>81.5</v>
      </c>
    </row>
    <row r="474" spans="1:7" x14ac:dyDescent="0.25">
      <c r="A474" s="2">
        <v>42614</v>
      </c>
      <c r="B474">
        <v>2016</v>
      </c>
      <c r="C474">
        <v>9</v>
      </c>
      <c r="D474" s="1" t="s">
        <v>122</v>
      </c>
      <c r="E474">
        <v>139.97999999999999</v>
      </c>
      <c r="F474">
        <v>174.9</v>
      </c>
      <c r="G474">
        <v>80</v>
      </c>
    </row>
    <row r="475" spans="1:7" x14ac:dyDescent="0.25">
      <c r="A475" s="2">
        <v>42644</v>
      </c>
      <c r="B475">
        <v>2016</v>
      </c>
      <c r="C475">
        <v>10</v>
      </c>
      <c r="D475" s="1" t="s">
        <v>122</v>
      </c>
      <c r="E475">
        <v>139.15</v>
      </c>
      <c r="F475">
        <v>165.68</v>
      </c>
      <c r="G475">
        <v>84</v>
      </c>
    </row>
    <row r="476" spans="1:7" x14ac:dyDescent="0.25">
      <c r="A476" s="2">
        <v>42675</v>
      </c>
      <c r="B476">
        <v>2016</v>
      </c>
      <c r="C476">
        <v>11</v>
      </c>
      <c r="D476" s="1" t="s">
        <v>122</v>
      </c>
      <c r="E476">
        <v>128.75</v>
      </c>
      <c r="F476">
        <v>156.74</v>
      </c>
      <c r="G476">
        <v>82.1</v>
      </c>
    </row>
    <row r="477" spans="1:7" x14ac:dyDescent="0.25">
      <c r="A477" s="2">
        <v>42705</v>
      </c>
      <c r="B477">
        <v>2016</v>
      </c>
      <c r="C477">
        <v>12</v>
      </c>
      <c r="D477" s="1" t="s">
        <v>122</v>
      </c>
      <c r="E477">
        <v>122.45</v>
      </c>
      <c r="F477">
        <v>152.94999999999999</v>
      </c>
      <c r="G477">
        <v>80.099999999999994</v>
      </c>
    </row>
    <row r="478" spans="1:7" x14ac:dyDescent="0.25">
      <c r="A478" s="2">
        <v>42736</v>
      </c>
      <c r="B478">
        <v>2017</v>
      </c>
      <c r="C478">
        <v>1</v>
      </c>
      <c r="D478" s="1" t="s">
        <v>122</v>
      </c>
      <c r="E478">
        <v>116.54</v>
      </c>
      <c r="F478">
        <v>139.34</v>
      </c>
      <c r="G478">
        <v>83.6</v>
      </c>
    </row>
    <row r="479" spans="1:7" x14ac:dyDescent="0.25">
      <c r="A479" s="2">
        <v>42767</v>
      </c>
      <c r="B479">
        <v>2017</v>
      </c>
      <c r="C479">
        <v>2</v>
      </c>
      <c r="D479" s="1" t="s">
        <v>122</v>
      </c>
      <c r="E479">
        <v>121.2</v>
      </c>
      <c r="F479">
        <v>149.16999999999999</v>
      </c>
      <c r="G479">
        <v>81.2</v>
      </c>
    </row>
    <row r="480" spans="1:7" x14ac:dyDescent="0.25">
      <c r="A480" s="2">
        <v>42795</v>
      </c>
      <c r="B480">
        <v>2017</v>
      </c>
      <c r="C480">
        <v>3</v>
      </c>
      <c r="D480" s="1" t="s">
        <v>122</v>
      </c>
      <c r="E480">
        <v>113.93</v>
      </c>
      <c r="F480">
        <v>136.38</v>
      </c>
      <c r="G480">
        <v>83.5</v>
      </c>
    </row>
    <row r="481" spans="1:7" x14ac:dyDescent="0.25">
      <c r="A481" s="2">
        <v>42826</v>
      </c>
      <c r="B481">
        <v>2017</v>
      </c>
      <c r="C481">
        <v>4</v>
      </c>
      <c r="D481" s="1" t="s">
        <v>122</v>
      </c>
      <c r="E481">
        <v>126.68</v>
      </c>
      <c r="F481">
        <v>156.53</v>
      </c>
      <c r="G481">
        <v>80.900000000000006</v>
      </c>
    </row>
    <row r="482" spans="1:7" x14ac:dyDescent="0.25">
      <c r="A482" s="2">
        <v>42856</v>
      </c>
      <c r="B482">
        <v>2017</v>
      </c>
      <c r="C482">
        <v>5</v>
      </c>
      <c r="D482" s="1" t="s">
        <v>122</v>
      </c>
      <c r="E482">
        <v>132.88</v>
      </c>
      <c r="F482">
        <v>159.94</v>
      </c>
      <c r="G482">
        <v>83.1</v>
      </c>
    </row>
    <row r="483" spans="1:7" x14ac:dyDescent="0.25">
      <c r="A483" s="2">
        <v>42887</v>
      </c>
      <c r="B483">
        <v>2017</v>
      </c>
      <c r="C483">
        <v>6</v>
      </c>
      <c r="D483" s="1" t="s">
        <v>122</v>
      </c>
      <c r="E483">
        <v>141.96</v>
      </c>
      <c r="F483">
        <v>174.87</v>
      </c>
      <c r="G483">
        <v>81.2</v>
      </c>
    </row>
    <row r="484" spans="1:7" x14ac:dyDescent="0.25">
      <c r="A484" s="2">
        <v>42917</v>
      </c>
      <c r="B484">
        <v>2017</v>
      </c>
      <c r="C484">
        <v>7</v>
      </c>
      <c r="D484" s="1" t="s">
        <v>122</v>
      </c>
      <c r="E484">
        <v>154.36000000000001</v>
      </c>
      <c r="F484">
        <v>183.78</v>
      </c>
      <c r="G484">
        <v>84</v>
      </c>
    </row>
    <row r="485" spans="1:7" x14ac:dyDescent="0.25">
      <c r="A485" s="2">
        <v>42948</v>
      </c>
      <c r="B485">
        <v>2017</v>
      </c>
      <c r="C485">
        <v>8</v>
      </c>
      <c r="D485" s="1" t="s">
        <v>122</v>
      </c>
      <c r="E485">
        <v>154.86000000000001</v>
      </c>
      <c r="F485">
        <v>197.74</v>
      </c>
      <c r="G485">
        <v>78.3</v>
      </c>
    </row>
    <row r="486" spans="1:7" x14ac:dyDescent="0.25">
      <c r="A486" s="2">
        <v>42979</v>
      </c>
      <c r="B486">
        <v>2017</v>
      </c>
      <c r="C486">
        <v>9</v>
      </c>
      <c r="D486" s="1" t="s">
        <v>122</v>
      </c>
      <c r="E486">
        <v>147.21</v>
      </c>
      <c r="F486">
        <v>185.22</v>
      </c>
      <c r="G486">
        <v>79.5</v>
      </c>
    </row>
    <row r="487" spans="1:7" x14ac:dyDescent="0.25">
      <c r="A487" s="2">
        <v>43009</v>
      </c>
      <c r="B487">
        <v>2017</v>
      </c>
      <c r="C487">
        <v>10</v>
      </c>
      <c r="D487" s="1" t="s">
        <v>122</v>
      </c>
      <c r="E487">
        <v>143.52000000000001</v>
      </c>
      <c r="F487">
        <v>175.69</v>
      </c>
      <c r="G487">
        <v>81.7</v>
      </c>
    </row>
    <row r="488" spans="1:7" x14ac:dyDescent="0.25">
      <c r="A488" s="2">
        <v>43040</v>
      </c>
      <c r="B488">
        <v>2017</v>
      </c>
      <c r="C488">
        <v>11</v>
      </c>
      <c r="D488" s="1" t="s">
        <v>122</v>
      </c>
      <c r="E488">
        <v>134.85</v>
      </c>
      <c r="F488">
        <v>167.32</v>
      </c>
      <c r="G488">
        <v>80.599999999999994</v>
      </c>
    </row>
    <row r="489" spans="1:7" x14ac:dyDescent="0.25">
      <c r="A489" s="2">
        <v>43070</v>
      </c>
      <c r="B489">
        <v>2017</v>
      </c>
      <c r="C489">
        <v>12</v>
      </c>
      <c r="D489" s="1" t="s">
        <v>122</v>
      </c>
      <c r="E489">
        <v>127.09</v>
      </c>
      <c r="F489">
        <v>156.66999999999999</v>
      </c>
      <c r="G489">
        <v>81.099999999999994</v>
      </c>
    </row>
    <row r="490" spans="1:7" x14ac:dyDescent="0.25">
      <c r="A490" s="2">
        <v>43101</v>
      </c>
      <c r="B490">
        <v>2018</v>
      </c>
      <c r="C490">
        <v>1</v>
      </c>
      <c r="D490" s="1" t="s">
        <v>122</v>
      </c>
      <c r="E490">
        <v>128.1</v>
      </c>
      <c r="F490">
        <v>153.74</v>
      </c>
      <c r="G490">
        <v>83.3</v>
      </c>
    </row>
    <row r="491" spans="1:7" x14ac:dyDescent="0.25">
      <c r="A491" s="2">
        <v>43132</v>
      </c>
      <c r="B491">
        <v>2018</v>
      </c>
      <c r="C491">
        <v>2</v>
      </c>
      <c r="D491" s="1" t="s">
        <v>122</v>
      </c>
      <c r="E491">
        <v>121.08</v>
      </c>
      <c r="F491">
        <v>149.33000000000001</v>
      </c>
      <c r="G491">
        <v>81.099999999999994</v>
      </c>
    </row>
    <row r="492" spans="1:7" x14ac:dyDescent="0.25">
      <c r="A492" s="2">
        <v>43160</v>
      </c>
      <c r="B492">
        <v>2018</v>
      </c>
      <c r="C492">
        <v>3</v>
      </c>
      <c r="D492" s="1" t="s">
        <v>122</v>
      </c>
      <c r="E492">
        <v>123.03</v>
      </c>
      <c r="F492">
        <v>148.85</v>
      </c>
      <c r="G492">
        <v>82.7</v>
      </c>
    </row>
    <row r="493" spans="1:7" x14ac:dyDescent="0.25">
      <c r="A493" s="2">
        <v>43191</v>
      </c>
      <c r="B493">
        <v>2018</v>
      </c>
      <c r="C493">
        <v>4</v>
      </c>
      <c r="D493" s="1" t="s">
        <v>122</v>
      </c>
      <c r="E493">
        <v>135.66999999999999</v>
      </c>
      <c r="F493">
        <v>169.2</v>
      </c>
      <c r="G493">
        <v>80.2</v>
      </c>
    </row>
    <row r="494" spans="1:7" x14ac:dyDescent="0.25">
      <c r="A494" s="2">
        <v>43221</v>
      </c>
      <c r="B494">
        <v>2018</v>
      </c>
      <c r="C494">
        <v>5</v>
      </c>
      <c r="D494" s="1" t="s">
        <v>122</v>
      </c>
      <c r="E494">
        <v>145.16</v>
      </c>
      <c r="F494">
        <v>186.25</v>
      </c>
      <c r="G494">
        <v>77.900000000000006</v>
      </c>
    </row>
    <row r="495" spans="1:7" x14ac:dyDescent="0.25">
      <c r="A495" s="2">
        <v>43252</v>
      </c>
      <c r="B495">
        <v>2018</v>
      </c>
      <c r="C495">
        <v>6</v>
      </c>
      <c r="D495" s="1" t="s">
        <v>122</v>
      </c>
      <c r="E495">
        <v>157.81</v>
      </c>
      <c r="F495">
        <v>188.94</v>
      </c>
      <c r="G495">
        <v>83.5</v>
      </c>
    </row>
    <row r="496" spans="1:7" x14ac:dyDescent="0.25">
      <c r="A496" s="2">
        <v>43282</v>
      </c>
      <c r="B496">
        <v>2018</v>
      </c>
      <c r="C496">
        <v>7</v>
      </c>
      <c r="D496" s="1" t="s">
        <v>122</v>
      </c>
      <c r="E496">
        <v>164.43</v>
      </c>
      <c r="F496">
        <v>192.01</v>
      </c>
      <c r="G496">
        <v>85.6</v>
      </c>
    </row>
    <row r="497" spans="1:7" x14ac:dyDescent="0.25">
      <c r="A497" s="2">
        <v>43313</v>
      </c>
      <c r="B497">
        <v>2018</v>
      </c>
      <c r="C497">
        <v>8</v>
      </c>
      <c r="D497" s="1" t="s">
        <v>122</v>
      </c>
      <c r="E497">
        <v>165.34</v>
      </c>
      <c r="F497">
        <v>200.57</v>
      </c>
      <c r="G497">
        <v>82.4</v>
      </c>
    </row>
    <row r="498" spans="1:7" x14ac:dyDescent="0.25">
      <c r="A498" s="2">
        <v>43344</v>
      </c>
      <c r="B498">
        <v>2018</v>
      </c>
      <c r="C498">
        <v>9</v>
      </c>
      <c r="D498" s="1" t="s">
        <v>122</v>
      </c>
      <c r="E498">
        <v>167.61</v>
      </c>
      <c r="F498">
        <v>204.9</v>
      </c>
      <c r="G498">
        <v>81.8</v>
      </c>
    </row>
    <row r="499" spans="1:7" x14ac:dyDescent="0.25">
      <c r="A499" s="2">
        <v>43374</v>
      </c>
      <c r="B499">
        <v>2018</v>
      </c>
      <c r="C499">
        <v>10</v>
      </c>
      <c r="D499" s="1" t="s">
        <v>122</v>
      </c>
      <c r="E499">
        <v>160.03</v>
      </c>
      <c r="F499">
        <v>194.65</v>
      </c>
      <c r="G499">
        <v>82.2</v>
      </c>
    </row>
    <row r="500" spans="1:7" x14ac:dyDescent="0.25">
      <c r="A500" s="2">
        <v>43405</v>
      </c>
      <c r="B500">
        <v>2018</v>
      </c>
      <c r="C500">
        <v>11</v>
      </c>
      <c r="D500" s="1" t="s">
        <v>122</v>
      </c>
      <c r="E500">
        <v>154.12</v>
      </c>
      <c r="F500">
        <v>181.84</v>
      </c>
      <c r="G500">
        <v>84.8</v>
      </c>
    </row>
    <row r="501" spans="1:7" x14ac:dyDescent="0.25">
      <c r="A501" s="2">
        <v>43435</v>
      </c>
      <c r="B501">
        <v>2018</v>
      </c>
      <c r="C501">
        <v>12</v>
      </c>
      <c r="D501" s="1" t="s">
        <v>122</v>
      </c>
      <c r="E501">
        <v>139.78</v>
      </c>
      <c r="F501">
        <v>167.14</v>
      </c>
      <c r="G501">
        <v>83.6</v>
      </c>
    </row>
    <row r="502" spans="1:7" x14ac:dyDescent="0.25">
      <c r="A502" s="2">
        <v>43466</v>
      </c>
      <c r="B502">
        <v>2019</v>
      </c>
      <c r="C502">
        <v>1</v>
      </c>
      <c r="D502" s="1" t="s">
        <v>122</v>
      </c>
      <c r="E502">
        <v>129.5</v>
      </c>
      <c r="F502">
        <v>155.03</v>
      </c>
      <c r="G502">
        <v>83.5</v>
      </c>
    </row>
    <row r="503" spans="1:7" x14ac:dyDescent="0.25">
      <c r="A503" s="2">
        <v>43497</v>
      </c>
      <c r="B503">
        <v>2019</v>
      </c>
      <c r="C503">
        <v>2</v>
      </c>
      <c r="D503" s="1" t="s">
        <v>122</v>
      </c>
      <c r="E503">
        <v>119.91</v>
      </c>
      <c r="F503">
        <v>142.44</v>
      </c>
      <c r="G503">
        <v>84.2</v>
      </c>
    </row>
    <row r="504" spans="1:7" x14ac:dyDescent="0.25">
      <c r="A504" s="2">
        <v>43525</v>
      </c>
      <c r="B504">
        <v>2019</v>
      </c>
      <c r="C504">
        <v>3</v>
      </c>
      <c r="D504" s="1" t="s">
        <v>122</v>
      </c>
      <c r="E504">
        <v>127.07</v>
      </c>
      <c r="F504">
        <v>155.41999999999999</v>
      </c>
      <c r="G504">
        <v>81.8</v>
      </c>
    </row>
    <row r="505" spans="1:7" x14ac:dyDescent="0.25">
      <c r="A505" s="2">
        <v>43556</v>
      </c>
      <c r="B505">
        <v>2019</v>
      </c>
      <c r="C505">
        <v>4</v>
      </c>
      <c r="D505" s="1" t="s">
        <v>122</v>
      </c>
      <c r="E505">
        <v>111.73</v>
      </c>
      <c r="F505">
        <v>138.1</v>
      </c>
      <c r="G505">
        <v>80.900000000000006</v>
      </c>
    </row>
    <row r="506" spans="1:7" x14ac:dyDescent="0.25">
      <c r="A506" s="2">
        <v>43586</v>
      </c>
      <c r="B506">
        <v>2019</v>
      </c>
      <c r="C506">
        <v>5</v>
      </c>
      <c r="D506" s="1" t="s">
        <v>122</v>
      </c>
      <c r="E506">
        <v>125.9</v>
      </c>
      <c r="F506">
        <v>151.49</v>
      </c>
      <c r="G506">
        <v>83.1</v>
      </c>
    </row>
    <row r="507" spans="1:7" x14ac:dyDescent="0.25">
      <c r="A507" s="2">
        <v>43617</v>
      </c>
      <c r="B507">
        <v>2019</v>
      </c>
      <c r="C507">
        <v>6</v>
      </c>
      <c r="D507" s="1" t="s">
        <v>122</v>
      </c>
      <c r="E507">
        <v>123.11</v>
      </c>
      <c r="F507">
        <v>146.53</v>
      </c>
      <c r="G507">
        <v>84</v>
      </c>
    </row>
    <row r="508" spans="1:7" x14ac:dyDescent="0.25">
      <c r="A508" s="2">
        <v>43647</v>
      </c>
      <c r="B508">
        <v>2019</v>
      </c>
      <c r="C508">
        <v>7</v>
      </c>
      <c r="D508" s="1" t="s">
        <v>122</v>
      </c>
      <c r="E508">
        <v>121.52</v>
      </c>
      <c r="F508">
        <v>143.91999999999999</v>
      </c>
      <c r="G508">
        <v>84.4</v>
      </c>
    </row>
    <row r="509" spans="1:7" x14ac:dyDescent="0.25">
      <c r="A509" s="2">
        <v>43678</v>
      </c>
      <c r="B509">
        <v>2019</v>
      </c>
      <c r="C509">
        <v>8</v>
      </c>
      <c r="D509" s="1" t="s">
        <v>122</v>
      </c>
      <c r="E509">
        <v>116.25</v>
      </c>
      <c r="F509">
        <v>136.69</v>
      </c>
      <c r="G509">
        <v>85</v>
      </c>
    </row>
    <row r="510" spans="1:7" x14ac:dyDescent="0.25">
      <c r="A510" s="2">
        <v>43709</v>
      </c>
      <c r="B510">
        <v>2019</v>
      </c>
      <c r="C510">
        <v>9</v>
      </c>
      <c r="D510" s="1" t="s">
        <v>122</v>
      </c>
      <c r="E510">
        <v>103.55</v>
      </c>
      <c r="F510">
        <v>123.56</v>
      </c>
      <c r="G510">
        <v>83.8</v>
      </c>
    </row>
    <row r="511" spans="1:7" x14ac:dyDescent="0.25">
      <c r="A511" s="2">
        <v>43739</v>
      </c>
      <c r="B511">
        <v>2019</v>
      </c>
      <c r="C511">
        <v>10</v>
      </c>
      <c r="D511" s="1" t="s">
        <v>122</v>
      </c>
      <c r="E511">
        <v>88.41</v>
      </c>
      <c r="F511">
        <v>109.42</v>
      </c>
      <c r="G511">
        <v>80.8</v>
      </c>
    </row>
    <row r="512" spans="1:7" x14ac:dyDescent="0.25">
      <c r="A512" s="2">
        <v>43770</v>
      </c>
      <c r="B512">
        <v>2019</v>
      </c>
      <c r="C512">
        <v>11</v>
      </c>
      <c r="D512" s="1" t="s">
        <v>122</v>
      </c>
      <c r="E512">
        <v>79.290000000000006</v>
      </c>
      <c r="F512">
        <v>96.19</v>
      </c>
      <c r="G512">
        <v>82.4</v>
      </c>
    </row>
    <row r="513" spans="1:7" x14ac:dyDescent="0.25">
      <c r="A513" s="2">
        <v>43800</v>
      </c>
      <c r="B513">
        <v>2019</v>
      </c>
      <c r="C513">
        <v>12</v>
      </c>
      <c r="D513" s="1" t="s">
        <v>122</v>
      </c>
      <c r="E513">
        <v>64.12</v>
      </c>
      <c r="F513">
        <v>77.959999999999994</v>
      </c>
      <c r="G513">
        <v>82.2</v>
      </c>
    </row>
    <row r="514" spans="1:7" x14ac:dyDescent="0.25">
      <c r="A514" s="2">
        <v>43831</v>
      </c>
      <c r="B514">
        <v>2020</v>
      </c>
      <c r="C514">
        <v>1</v>
      </c>
      <c r="D514" s="1" t="s">
        <v>122</v>
      </c>
      <c r="E514">
        <v>51.3</v>
      </c>
      <c r="F514">
        <v>62.54</v>
      </c>
      <c r="G514">
        <v>82</v>
      </c>
    </row>
    <row r="515" spans="1:7" x14ac:dyDescent="0.25">
      <c r="A515" s="2">
        <v>43862</v>
      </c>
      <c r="B515">
        <v>2020</v>
      </c>
      <c r="C515">
        <v>2</v>
      </c>
      <c r="D515" s="1" t="s">
        <v>122</v>
      </c>
      <c r="E515">
        <v>53.61</v>
      </c>
      <c r="F515">
        <v>64.510000000000005</v>
      </c>
      <c r="G515">
        <v>83.1</v>
      </c>
    </row>
    <row r="516" spans="1:7" x14ac:dyDescent="0.25">
      <c r="A516" s="2">
        <v>43891</v>
      </c>
      <c r="B516">
        <v>2020</v>
      </c>
      <c r="C516">
        <v>3</v>
      </c>
      <c r="D516" s="1" t="s">
        <v>122</v>
      </c>
      <c r="E516">
        <v>7.54</v>
      </c>
      <c r="F516">
        <v>13.71</v>
      </c>
      <c r="G516">
        <v>55</v>
      </c>
    </row>
    <row r="517" spans="1:7" x14ac:dyDescent="0.25">
      <c r="A517" s="2">
        <v>43922</v>
      </c>
      <c r="B517">
        <v>2020</v>
      </c>
      <c r="C517">
        <v>4</v>
      </c>
      <c r="D517" s="1" t="s">
        <v>122</v>
      </c>
      <c r="E517">
        <v>8.9700000000000006</v>
      </c>
      <c r="F517">
        <v>16.3</v>
      </c>
      <c r="G517">
        <v>55</v>
      </c>
    </row>
    <row r="518" spans="1:7" x14ac:dyDescent="0.25">
      <c r="A518" s="2">
        <v>43952</v>
      </c>
      <c r="B518">
        <v>2020</v>
      </c>
      <c r="C518">
        <v>5</v>
      </c>
      <c r="D518" s="1" t="s">
        <v>122</v>
      </c>
      <c r="E518">
        <v>8.76</v>
      </c>
      <c r="F518">
        <v>15.93</v>
      </c>
      <c r="G518">
        <v>55</v>
      </c>
    </row>
    <row r="519" spans="1:7" x14ac:dyDescent="0.25">
      <c r="A519" s="2">
        <v>43983</v>
      </c>
      <c r="B519">
        <v>2020</v>
      </c>
      <c r="C519">
        <v>6</v>
      </c>
      <c r="D519" s="1" t="s">
        <v>122</v>
      </c>
      <c r="E519">
        <v>10.220000000000001</v>
      </c>
      <c r="F519">
        <v>18.579999999999998</v>
      </c>
      <c r="G519">
        <v>55</v>
      </c>
    </row>
    <row r="520" spans="1:7" x14ac:dyDescent="0.25">
      <c r="A520" s="2">
        <v>44013</v>
      </c>
      <c r="B520">
        <v>2020</v>
      </c>
      <c r="C520">
        <v>7</v>
      </c>
      <c r="D520" s="1" t="s">
        <v>122</v>
      </c>
      <c r="E520">
        <v>69.84</v>
      </c>
      <c r="F520">
        <v>126.98</v>
      </c>
      <c r="G520">
        <v>55</v>
      </c>
    </row>
    <row r="521" spans="1:7" x14ac:dyDescent="0.25">
      <c r="A521" s="2">
        <v>44044</v>
      </c>
      <c r="B521">
        <v>2020</v>
      </c>
      <c r="C521">
        <v>8</v>
      </c>
      <c r="D521" s="1" t="s">
        <v>122</v>
      </c>
      <c r="E521">
        <v>24.92</v>
      </c>
      <c r="F521">
        <v>45.3</v>
      </c>
      <c r="G521">
        <v>55</v>
      </c>
    </row>
    <row r="522" spans="1:7" x14ac:dyDescent="0.25">
      <c r="A522" s="2">
        <v>44075</v>
      </c>
      <c r="B522">
        <v>2020</v>
      </c>
      <c r="C522">
        <v>9</v>
      </c>
      <c r="D522" s="1" t="s">
        <v>122</v>
      </c>
      <c r="E522">
        <v>25.46</v>
      </c>
      <c r="F522">
        <v>46.29</v>
      </c>
      <c r="G522">
        <v>55</v>
      </c>
    </row>
    <row r="523" spans="1:7" x14ac:dyDescent="0.25">
      <c r="A523" s="2">
        <v>44105</v>
      </c>
      <c r="B523">
        <v>2020</v>
      </c>
      <c r="C523">
        <v>10</v>
      </c>
      <c r="D523" s="1" t="s">
        <v>122</v>
      </c>
      <c r="E523">
        <v>24.09</v>
      </c>
      <c r="F523">
        <v>43.8</v>
      </c>
      <c r="G523">
        <v>55</v>
      </c>
    </row>
    <row r="524" spans="1:7" x14ac:dyDescent="0.25">
      <c r="A524" s="2">
        <v>44136</v>
      </c>
      <c r="B524">
        <v>2020</v>
      </c>
      <c r="C524">
        <v>11</v>
      </c>
      <c r="D524" s="1" t="s">
        <v>122</v>
      </c>
      <c r="E524">
        <v>23.17</v>
      </c>
      <c r="F524">
        <v>42.13</v>
      </c>
      <c r="G524">
        <v>55</v>
      </c>
    </row>
    <row r="525" spans="1:7" x14ac:dyDescent="0.25">
      <c r="A525" s="2">
        <v>44166</v>
      </c>
      <c r="B525">
        <v>2020</v>
      </c>
      <c r="C525">
        <v>12</v>
      </c>
      <c r="D525" s="1" t="s">
        <v>122</v>
      </c>
      <c r="E525">
        <v>19.920000000000002</v>
      </c>
      <c r="F525">
        <v>36.21</v>
      </c>
      <c r="G525">
        <v>55</v>
      </c>
    </row>
    <row r="526" spans="1:7" x14ac:dyDescent="0.25">
      <c r="A526" s="2">
        <v>44197</v>
      </c>
      <c r="B526">
        <v>2021</v>
      </c>
      <c r="C526">
        <v>1</v>
      </c>
      <c r="D526" s="1" t="s">
        <v>122</v>
      </c>
      <c r="E526">
        <v>57.64</v>
      </c>
      <c r="F526">
        <v>69.48</v>
      </c>
      <c r="G526">
        <v>83</v>
      </c>
    </row>
    <row r="527" spans="1:7" x14ac:dyDescent="0.25">
      <c r="A527" s="2">
        <v>44228</v>
      </c>
      <c r="B527">
        <v>2021</v>
      </c>
      <c r="C527">
        <v>2</v>
      </c>
      <c r="D527" s="1" t="s">
        <v>122</v>
      </c>
      <c r="E527">
        <v>25.33</v>
      </c>
      <c r="F527">
        <v>31.13</v>
      </c>
      <c r="G527">
        <v>81.400000000000006</v>
      </c>
    </row>
    <row r="528" spans="1:7" x14ac:dyDescent="0.25">
      <c r="A528" s="2">
        <v>44256</v>
      </c>
      <c r="B528">
        <v>2021</v>
      </c>
      <c r="C528">
        <v>3</v>
      </c>
      <c r="D528" s="1" t="s">
        <v>122</v>
      </c>
      <c r="E528">
        <v>26.39</v>
      </c>
      <c r="F528">
        <v>32.22</v>
      </c>
      <c r="G528">
        <v>81.900000000000006</v>
      </c>
    </row>
    <row r="529" spans="1:7" x14ac:dyDescent="0.25">
      <c r="A529" s="2">
        <v>44287</v>
      </c>
      <c r="B529">
        <v>2021</v>
      </c>
      <c r="C529">
        <v>4</v>
      </c>
      <c r="D529" s="1" t="s">
        <v>122</v>
      </c>
      <c r="E529">
        <v>27.18</v>
      </c>
      <c r="F529">
        <v>33.4</v>
      </c>
      <c r="G529">
        <v>81.400000000000006</v>
      </c>
    </row>
    <row r="530" spans="1:7" x14ac:dyDescent="0.25">
      <c r="A530" s="2">
        <v>44317</v>
      </c>
      <c r="B530">
        <v>2021</v>
      </c>
      <c r="C530">
        <v>5</v>
      </c>
      <c r="D530" s="1" t="s">
        <v>122</v>
      </c>
      <c r="E530">
        <v>31.87</v>
      </c>
      <c r="F530">
        <v>40.590000000000003</v>
      </c>
      <c r="G530">
        <v>78.5</v>
      </c>
    </row>
    <row r="531" spans="1:7" x14ac:dyDescent="0.25">
      <c r="A531" s="2">
        <v>44348</v>
      </c>
      <c r="B531">
        <v>2021</v>
      </c>
      <c r="C531">
        <v>6</v>
      </c>
      <c r="D531" s="1" t="s">
        <v>122</v>
      </c>
      <c r="E531">
        <v>32.94</v>
      </c>
      <c r="F531">
        <v>41.89</v>
      </c>
      <c r="G531">
        <v>78.599999999999994</v>
      </c>
    </row>
    <row r="532" spans="1:7" x14ac:dyDescent="0.25">
      <c r="A532" s="2">
        <v>44378</v>
      </c>
      <c r="B532">
        <v>2021</v>
      </c>
      <c r="C532">
        <v>7</v>
      </c>
      <c r="D532" s="1" t="s">
        <v>122</v>
      </c>
      <c r="E532">
        <v>76.02</v>
      </c>
      <c r="F532">
        <v>93.7</v>
      </c>
      <c r="G532">
        <v>81.099999999999994</v>
      </c>
    </row>
    <row r="533" spans="1:7" x14ac:dyDescent="0.25">
      <c r="A533" s="2">
        <v>44409</v>
      </c>
      <c r="B533">
        <v>2021</v>
      </c>
      <c r="C533">
        <v>8</v>
      </c>
      <c r="D533" s="1" t="s">
        <v>122</v>
      </c>
      <c r="E533">
        <v>47.69</v>
      </c>
      <c r="F533">
        <v>57.61</v>
      </c>
      <c r="G533">
        <v>82.8</v>
      </c>
    </row>
    <row r="534" spans="1:7" x14ac:dyDescent="0.25">
      <c r="A534" s="2">
        <v>44440</v>
      </c>
      <c r="B534">
        <v>2021</v>
      </c>
      <c r="C534">
        <v>9</v>
      </c>
      <c r="D534" s="1" t="s">
        <v>122</v>
      </c>
      <c r="E534">
        <v>49.62</v>
      </c>
      <c r="F534">
        <v>63.77</v>
      </c>
      <c r="G534">
        <v>77.8</v>
      </c>
    </row>
    <row r="535" spans="1:7" x14ac:dyDescent="0.25">
      <c r="A535" s="2">
        <v>44470</v>
      </c>
      <c r="B535">
        <v>2021</v>
      </c>
      <c r="C535">
        <v>10</v>
      </c>
      <c r="D535" s="1" t="s">
        <v>122</v>
      </c>
      <c r="E535">
        <v>49.26</v>
      </c>
      <c r="F535">
        <v>58.05</v>
      </c>
      <c r="G535">
        <v>84.9</v>
      </c>
    </row>
    <row r="536" spans="1:7" x14ac:dyDescent="0.25">
      <c r="A536" s="2">
        <v>44501</v>
      </c>
      <c r="B536">
        <v>2021</v>
      </c>
      <c r="C536">
        <v>11</v>
      </c>
      <c r="D536" s="1" t="s">
        <v>122</v>
      </c>
      <c r="E536">
        <v>47.01</v>
      </c>
      <c r="F536">
        <v>56.84</v>
      </c>
      <c r="G536">
        <v>82.7</v>
      </c>
    </row>
    <row r="537" spans="1:7" x14ac:dyDescent="0.25">
      <c r="A537" s="2">
        <v>44531</v>
      </c>
      <c r="B537">
        <v>2021</v>
      </c>
      <c r="C537">
        <v>12</v>
      </c>
      <c r="D537" s="1" t="s">
        <v>122</v>
      </c>
      <c r="E537">
        <v>41.89</v>
      </c>
      <c r="F537">
        <v>49.49</v>
      </c>
      <c r="G537">
        <v>84.7</v>
      </c>
    </row>
    <row r="538" spans="1:7" x14ac:dyDescent="0.25">
      <c r="A538" s="2">
        <v>44562</v>
      </c>
      <c r="B538">
        <v>2022</v>
      </c>
      <c r="C538">
        <v>1</v>
      </c>
      <c r="D538" s="1" t="s">
        <v>122</v>
      </c>
      <c r="E538">
        <v>64.06</v>
      </c>
      <c r="F538">
        <v>76.02</v>
      </c>
      <c r="G538">
        <v>84.3</v>
      </c>
    </row>
    <row r="539" spans="1:7" x14ac:dyDescent="0.25">
      <c r="A539" s="2">
        <v>44593</v>
      </c>
      <c r="B539">
        <v>2022</v>
      </c>
      <c r="C539">
        <v>2</v>
      </c>
      <c r="D539" s="1" t="s">
        <v>122</v>
      </c>
      <c r="E539">
        <v>60.43</v>
      </c>
      <c r="F539">
        <v>73.33</v>
      </c>
      <c r="G539">
        <v>82.4</v>
      </c>
    </row>
    <row r="540" spans="1:7" x14ac:dyDescent="0.25">
      <c r="A540" s="2">
        <v>44621</v>
      </c>
      <c r="B540">
        <v>2022</v>
      </c>
      <c r="C540">
        <v>3</v>
      </c>
      <c r="D540" s="1" t="s">
        <v>122</v>
      </c>
      <c r="E540">
        <v>67.23</v>
      </c>
      <c r="F540">
        <v>85.77</v>
      </c>
      <c r="G540">
        <v>78.400000000000006</v>
      </c>
    </row>
    <row r="541" spans="1:7" x14ac:dyDescent="0.25">
      <c r="A541" s="2">
        <v>44652</v>
      </c>
      <c r="B541">
        <v>2022</v>
      </c>
      <c r="C541">
        <v>4</v>
      </c>
      <c r="D541" s="1" t="s">
        <v>122</v>
      </c>
      <c r="E541">
        <v>74.459999999999994</v>
      </c>
      <c r="F541">
        <v>86.04</v>
      </c>
      <c r="G541">
        <v>86.5</v>
      </c>
    </row>
    <row r="542" spans="1:7" x14ac:dyDescent="0.25">
      <c r="A542" s="2">
        <v>44682</v>
      </c>
      <c r="B542">
        <v>2022</v>
      </c>
      <c r="C542">
        <v>5</v>
      </c>
      <c r="D542" s="1" t="s">
        <v>122</v>
      </c>
      <c r="E542">
        <v>84.1</v>
      </c>
      <c r="F542">
        <v>99</v>
      </c>
      <c r="G542">
        <v>84.9</v>
      </c>
    </row>
    <row r="543" spans="1:7" x14ac:dyDescent="0.25">
      <c r="A543" s="2">
        <v>44713</v>
      </c>
      <c r="B543">
        <v>2022</v>
      </c>
      <c r="C543">
        <v>6</v>
      </c>
      <c r="D543" s="1" t="s">
        <v>122</v>
      </c>
      <c r="E543">
        <v>92.55</v>
      </c>
      <c r="F543">
        <v>113.07</v>
      </c>
      <c r="G543">
        <v>81.900000000000006</v>
      </c>
    </row>
    <row r="544" spans="1:7" x14ac:dyDescent="0.25">
      <c r="A544" s="2">
        <v>44743</v>
      </c>
      <c r="B544">
        <v>2022</v>
      </c>
      <c r="C544">
        <v>7</v>
      </c>
      <c r="D544" s="1" t="s">
        <v>122</v>
      </c>
      <c r="E544">
        <v>101.43</v>
      </c>
      <c r="F544">
        <v>126.21</v>
      </c>
      <c r="G544">
        <v>80.400000000000006</v>
      </c>
    </row>
    <row r="545" spans="1:7" x14ac:dyDescent="0.25">
      <c r="A545" s="2">
        <v>44774</v>
      </c>
      <c r="B545">
        <v>2022</v>
      </c>
      <c r="C545">
        <v>8</v>
      </c>
      <c r="D545" s="1" t="s">
        <v>122</v>
      </c>
      <c r="E545">
        <v>102.65</v>
      </c>
      <c r="F545">
        <v>121.43</v>
      </c>
      <c r="G545">
        <v>84.5</v>
      </c>
    </row>
    <row r="546" spans="1:7" x14ac:dyDescent="0.25">
      <c r="A546" s="2">
        <v>44805</v>
      </c>
      <c r="B546">
        <v>2022</v>
      </c>
      <c r="C546">
        <v>9</v>
      </c>
      <c r="D546" s="1" t="s">
        <v>122</v>
      </c>
      <c r="E546">
        <v>111.85</v>
      </c>
      <c r="F546">
        <v>139.78</v>
      </c>
      <c r="G546">
        <v>80</v>
      </c>
    </row>
    <row r="547" spans="1:7" x14ac:dyDescent="0.25">
      <c r="A547" s="2">
        <v>44835</v>
      </c>
      <c r="B547">
        <v>2022</v>
      </c>
      <c r="C547">
        <v>10</v>
      </c>
      <c r="D547" s="1" t="s">
        <v>122</v>
      </c>
      <c r="E547">
        <v>108.59</v>
      </c>
      <c r="F547">
        <v>132.71</v>
      </c>
      <c r="G547">
        <v>81.8</v>
      </c>
    </row>
    <row r="548" spans="1:7" x14ac:dyDescent="0.25">
      <c r="A548" s="2">
        <v>44866</v>
      </c>
      <c r="B548">
        <v>2022</v>
      </c>
      <c r="C548">
        <v>11</v>
      </c>
      <c r="D548" s="1" t="s">
        <v>122</v>
      </c>
      <c r="E548">
        <v>102.29</v>
      </c>
      <c r="F548">
        <v>123.36</v>
      </c>
      <c r="G548">
        <v>82.9</v>
      </c>
    </row>
    <row r="549" spans="1:7" x14ac:dyDescent="0.25">
      <c r="A549" s="2">
        <v>44896</v>
      </c>
      <c r="B549">
        <v>2022</v>
      </c>
      <c r="C549">
        <v>12</v>
      </c>
      <c r="D549" s="1" t="s">
        <v>122</v>
      </c>
      <c r="E549">
        <v>99.47</v>
      </c>
      <c r="F549">
        <v>121.06</v>
      </c>
      <c r="G549">
        <v>82.2</v>
      </c>
    </row>
    <row r="550" spans="1:7" x14ac:dyDescent="0.25">
      <c r="A550" s="2">
        <v>44927</v>
      </c>
      <c r="B550">
        <v>2023</v>
      </c>
      <c r="C550">
        <v>1</v>
      </c>
      <c r="D550" s="1" t="s">
        <v>122</v>
      </c>
      <c r="E550">
        <v>97.58</v>
      </c>
      <c r="F550">
        <v>118.11</v>
      </c>
      <c r="G550">
        <v>82.6</v>
      </c>
    </row>
    <row r="551" spans="1:7" x14ac:dyDescent="0.25">
      <c r="A551" s="2">
        <v>44958</v>
      </c>
      <c r="B551">
        <v>2023</v>
      </c>
      <c r="C551">
        <v>2</v>
      </c>
      <c r="D551" s="1" t="s">
        <v>122</v>
      </c>
      <c r="E551">
        <v>95.81</v>
      </c>
      <c r="F551">
        <v>119.26</v>
      </c>
      <c r="G551">
        <v>80.3</v>
      </c>
    </row>
    <row r="552" spans="1:7" x14ac:dyDescent="0.25">
      <c r="A552" s="2">
        <v>44986</v>
      </c>
      <c r="B552">
        <v>2023</v>
      </c>
      <c r="C552">
        <v>3</v>
      </c>
      <c r="D552" s="1" t="s">
        <v>122</v>
      </c>
      <c r="E552">
        <v>105.6</v>
      </c>
      <c r="F552">
        <v>127.32</v>
      </c>
      <c r="G552">
        <v>82.9</v>
      </c>
    </row>
    <row r="553" spans="1:7" x14ac:dyDescent="0.25">
      <c r="A553" s="2">
        <v>45017</v>
      </c>
      <c r="B553">
        <v>2023</v>
      </c>
      <c r="C553">
        <v>4</v>
      </c>
      <c r="D553" s="1" t="s">
        <v>122</v>
      </c>
      <c r="E553">
        <v>110.45</v>
      </c>
      <c r="F553">
        <v>140.19</v>
      </c>
      <c r="G553">
        <v>78.8</v>
      </c>
    </row>
    <row r="554" spans="1:7" x14ac:dyDescent="0.25">
      <c r="A554" s="2">
        <v>45047</v>
      </c>
      <c r="B554">
        <v>2023</v>
      </c>
      <c r="C554">
        <v>5</v>
      </c>
      <c r="D554" s="1" t="s">
        <v>122</v>
      </c>
      <c r="E554">
        <v>117.07</v>
      </c>
      <c r="F554">
        <v>138.59</v>
      </c>
      <c r="G554">
        <v>84.5</v>
      </c>
    </row>
    <row r="555" spans="1:7" x14ac:dyDescent="0.25">
      <c r="A555" s="2">
        <v>45078</v>
      </c>
      <c r="B555">
        <v>2023</v>
      </c>
      <c r="C555">
        <v>6</v>
      </c>
      <c r="D555" s="1" t="s">
        <v>122</v>
      </c>
      <c r="E555">
        <v>133.5</v>
      </c>
      <c r="F555">
        <v>170.78</v>
      </c>
      <c r="G555">
        <v>78.2</v>
      </c>
    </row>
    <row r="556" spans="1:7" x14ac:dyDescent="0.25">
      <c r="A556" s="2">
        <v>45108</v>
      </c>
      <c r="B556">
        <v>2023</v>
      </c>
      <c r="C556">
        <v>7</v>
      </c>
      <c r="D556" s="1" t="s">
        <v>122</v>
      </c>
      <c r="E556">
        <v>147.16</v>
      </c>
      <c r="F556">
        <v>181.88</v>
      </c>
      <c r="G556">
        <v>80.900000000000006</v>
      </c>
    </row>
    <row r="557" spans="1:7" x14ac:dyDescent="0.25">
      <c r="A557" s="2">
        <v>45139</v>
      </c>
      <c r="B557">
        <v>2023</v>
      </c>
      <c r="C557">
        <v>8</v>
      </c>
      <c r="D557" s="1" t="s">
        <v>122</v>
      </c>
      <c r="E557">
        <v>155.22</v>
      </c>
      <c r="F557">
        <v>189.69</v>
      </c>
      <c r="G557">
        <v>81.8</v>
      </c>
    </row>
    <row r="558" spans="1:7" x14ac:dyDescent="0.25">
      <c r="A558" s="2">
        <v>45170</v>
      </c>
      <c r="B558">
        <v>2023</v>
      </c>
      <c r="C558">
        <v>9</v>
      </c>
      <c r="D558" s="1" t="s">
        <v>122</v>
      </c>
      <c r="E558">
        <v>150.63</v>
      </c>
      <c r="F558">
        <v>178.57</v>
      </c>
      <c r="G558">
        <v>84.4</v>
      </c>
    </row>
    <row r="559" spans="1:7" x14ac:dyDescent="0.25">
      <c r="A559" s="2">
        <v>45200</v>
      </c>
      <c r="B559">
        <v>2023</v>
      </c>
      <c r="C559">
        <v>10</v>
      </c>
      <c r="D559" s="1" t="s">
        <v>122</v>
      </c>
      <c r="E559">
        <v>141.91999999999999</v>
      </c>
      <c r="F559">
        <v>177.37</v>
      </c>
      <c r="G559">
        <v>80</v>
      </c>
    </row>
    <row r="560" spans="1:7" x14ac:dyDescent="0.25">
      <c r="A560" s="2">
        <v>45231</v>
      </c>
      <c r="B560">
        <v>2023</v>
      </c>
      <c r="C560">
        <v>11</v>
      </c>
      <c r="D560" s="1" t="s">
        <v>122</v>
      </c>
      <c r="E560">
        <v>137.93</v>
      </c>
      <c r="F560">
        <v>164.89</v>
      </c>
      <c r="G560">
        <v>83.7</v>
      </c>
    </row>
    <row r="561" spans="1:7" x14ac:dyDescent="0.25">
      <c r="A561" s="2">
        <v>45261</v>
      </c>
      <c r="B561">
        <v>2023</v>
      </c>
      <c r="C561">
        <v>12</v>
      </c>
      <c r="D561" s="1" t="s">
        <v>122</v>
      </c>
      <c r="E561">
        <v>126.1</v>
      </c>
      <c r="F561">
        <v>160.30000000000001</v>
      </c>
      <c r="G561">
        <v>78.7</v>
      </c>
    </row>
    <row r="562" spans="1:7" x14ac:dyDescent="0.25">
      <c r="A562" s="2">
        <v>45292</v>
      </c>
      <c r="B562">
        <v>2024</v>
      </c>
      <c r="C562">
        <v>1</v>
      </c>
      <c r="D562" s="1" t="s">
        <v>122</v>
      </c>
      <c r="E562">
        <v>129.32</v>
      </c>
      <c r="F562">
        <v>160.06</v>
      </c>
      <c r="G562">
        <v>80.8</v>
      </c>
    </row>
    <row r="563" spans="1:7" x14ac:dyDescent="0.25">
      <c r="A563" s="2">
        <v>45323</v>
      </c>
      <c r="B563">
        <v>2024</v>
      </c>
      <c r="C563">
        <v>2</v>
      </c>
      <c r="D563" s="1" t="s">
        <v>122</v>
      </c>
      <c r="E563">
        <v>122.51</v>
      </c>
      <c r="F563">
        <v>156.49</v>
      </c>
      <c r="G563">
        <v>78.3</v>
      </c>
    </row>
    <row r="564" spans="1:7" x14ac:dyDescent="0.25">
      <c r="A564" s="2">
        <v>45352</v>
      </c>
      <c r="B564">
        <v>2024</v>
      </c>
      <c r="C564">
        <v>3</v>
      </c>
      <c r="D564" s="1" t="s">
        <v>122</v>
      </c>
      <c r="E564">
        <v>125.04</v>
      </c>
      <c r="F564">
        <v>152.52000000000001</v>
      </c>
      <c r="G564">
        <v>82</v>
      </c>
    </row>
    <row r="565" spans="1:7" x14ac:dyDescent="0.25">
      <c r="A565" s="2">
        <v>45383</v>
      </c>
      <c r="B565">
        <v>2024</v>
      </c>
      <c r="C565">
        <v>4</v>
      </c>
      <c r="D565" s="1" t="s">
        <v>122</v>
      </c>
      <c r="E565">
        <v>140.30000000000001</v>
      </c>
      <c r="F565">
        <v>174.38</v>
      </c>
      <c r="G565">
        <v>80.5</v>
      </c>
    </row>
    <row r="566" spans="1:7" x14ac:dyDescent="0.25">
      <c r="A566" s="2">
        <v>45413</v>
      </c>
      <c r="B566">
        <v>2024</v>
      </c>
      <c r="C566">
        <v>5</v>
      </c>
      <c r="D566" s="1" t="s">
        <v>122</v>
      </c>
      <c r="E566">
        <v>155.9</v>
      </c>
      <c r="F566">
        <v>193.34</v>
      </c>
      <c r="G566">
        <v>80.599999999999994</v>
      </c>
    </row>
    <row r="567" spans="1:7" x14ac:dyDescent="0.25">
      <c r="A567" s="2">
        <v>45444</v>
      </c>
      <c r="B567">
        <v>2024</v>
      </c>
      <c r="C567">
        <v>6</v>
      </c>
      <c r="D567" s="1" t="s">
        <v>122</v>
      </c>
      <c r="E567">
        <v>157.1</v>
      </c>
      <c r="F567">
        <v>184.66</v>
      </c>
      <c r="G567">
        <v>85.1</v>
      </c>
    </row>
    <row r="568" spans="1:7" x14ac:dyDescent="0.25">
      <c r="A568" s="2">
        <v>45474</v>
      </c>
      <c r="B568">
        <v>2024</v>
      </c>
      <c r="C568">
        <v>7</v>
      </c>
      <c r="D568" s="1" t="s">
        <v>122</v>
      </c>
      <c r="E568">
        <v>170.56</v>
      </c>
      <c r="F568">
        <v>210.84</v>
      </c>
      <c r="G568">
        <v>80.900000000000006</v>
      </c>
    </row>
    <row r="569" spans="1:7" x14ac:dyDescent="0.25">
      <c r="A569" s="2">
        <v>45505</v>
      </c>
      <c r="B569">
        <v>2024</v>
      </c>
      <c r="C569">
        <v>8</v>
      </c>
      <c r="D569" s="1" t="s">
        <v>122</v>
      </c>
      <c r="E569">
        <v>172.65</v>
      </c>
      <c r="F569">
        <v>203.83</v>
      </c>
      <c r="G569">
        <v>84.7</v>
      </c>
    </row>
    <row r="570" spans="1:7" x14ac:dyDescent="0.25">
      <c r="A570" s="2">
        <v>45536</v>
      </c>
      <c r="B570">
        <v>2024</v>
      </c>
      <c r="C570">
        <v>9</v>
      </c>
      <c r="D570" s="1" t="s">
        <v>122</v>
      </c>
      <c r="E570">
        <v>179.07</v>
      </c>
      <c r="F570">
        <v>222.82</v>
      </c>
      <c r="G570">
        <v>80.400000000000006</v>
      </c>
    </row>
    <row r="571" spans="1:7" x14ac:dyDescent="0.25">
      <c r="A571" s="2">
        <v>45566</v>
      </c>
      <c r="B571">
        <v>2024</v>
      </c>
      <c r="C571">
        <v>10</v>
      </c>
      <c r="D571" s="1" t="s">
        <v>122</v>
      </c>
      <c r="E571">
        <v>163.72999999999999</v>
      </c>
      <c r="F571">
        <v>199.23</v>
      </c>
      <c r="G571">
        <v>82.2</v>
      </c>
    </row>
    <row r="572" spans="1:7" x14ac:dyDescent="0.25">
      <c r="A572" s="2">
        <v>45597</v>
      </c>
      <c r="B572">
        <v>2024</v>
      </c>
      <c r="C572">
        <v>11</v>
      </c>
      <c r="D572" s="1" t="s">
        <v>122</v>
      </c>
      <c r="E572">
        <v>148.86000000000001</v>
      </c>
      <c r="F572">
        <v>181.79</v>
      </c>
      <c r="G572">
        <v>81.900000000000006</v>
      </c>
    </row>
    <row r="573" spans="1:7" x14ac:dyDescent="0.25">
      <c r="A573" s="2">
        <v>45627</v>
      </c>
      <c r="B573">
        <v>2024</v>
      </c>
      <c r="C573">
        <v>12</v>
      </c>
      <c r="D573" s="1" t="s">
        <v>122</v>
      </c>
      <c r="E573">
        <v>142.63</v>
      </c>
      <c r="F573">
        <v>169.23</v>
      </c>
      <c r="G573">
        <v>84.3</v>
      </c>
    </row>
    <row r="574" spans="1:7" x14ac:dyDescent="0.25">
      <c r="A574" s="2">
        <v>45658</v>
      </c>
      <c r="B574">
        <v>2025</v>
      </c>
      <c r="C574">
        <v>1</v>
      </c>
      <c r="D574" s="1" t="s">
        <v>122</v>
      </c>
      <c r="E574">
        <v>139.84</v>
      </c>
      <c r="F574">
        <v>171.92</v>
      </c>
      <c r="G574">
        <v>81.3</v>
      </c>
    </row>
    <row r="575" spans="1:7" x14ac:dyDescent="0.25">
      <c r="A575" s="2">
        <v>45689</v>
      </c>
      <c r="B575">
        <v>2025</v>
      </c>
      <c r="C575">
        <v>2</v>
      </c>
      <c r="D575" s="1" t="s">
        <v>122</v>
      </c>
      <c r="E575">
        <v>131.61000000000001</v>
      </c>
      <c r="F575">
        <v>157.94</v>
      </c>
      <c r="G575">
        <v>83.3</v>
      </c>
    </row>
    <row r="576" spans="1:7" x14ac:dyDescent="0.25">
      <c r="A576" s="2">
        <v>45717</v>
      </c>
      <c r="B576">
        <v>2025</v>
      </c>
      <c r="C576">
        <v>3</v>
      </c>
      <c r="D576" s="1" t="s">
        <v>122</v>
      </c>
      <c r="E576">
        <v>133.94</v>
      </c>
      <c r="F576">
        <v>161.03</v>
      </c>
      <c r="G576">
        <v>83.2</v>
      </c>
    </row>
    <row r="577" spans="1:7" x14ac:dyDescent="0.25">
      <c r="A577" s="2">
        <v>45748</v>
      </c>
      <c r="B577">
        <v>2025</v>
      </c>
      <c r="C577">
        <v>4</v>
      </c>
      <c r="D577" s="1" t="s">
        <v>122</v>
      </c>
      <c r="E577">
        <v>145.30000000000001</v>
      </c>
      <c r="F577">
        <v>181.49</v>
      </c>
      <c r="G577">
        <v>80.099999999999994</v>
      </c>
    </row>
    <row r="578" spans="1:7" x14ac:dyDescent="0.25">
      <c r="A578" s="2">
        <v>45778</v>
      </c>
      <c r="B578">
        <v>2025</v>
      </c>
      <c r="C578">
        <v>5</v>
      </c>
      <c r="D578" s="1" t="s">
        <v>122</v>
      </c>
      <c r="E578">
        <v>153.85</v>
      </c>
      <c r="F578">
        <v>181.23</v>
      </c>
      <c r="G578">
        <v>84.9</v>
      </c>
    </row>
    <row r="579" spans="1:7" x14ac:dyDescent="0.25">
      <c r="A579" s="2">
        <v>45809</v>
      </c>
      <c r="B579">
        <v>2025</v>
      </c>
      <c r="C579">
        <v>6</v>
      </c>
      <c r="D579" s="1" t="s">
        <v>122</v>
      </c>
      <c r="E579">
        <v>170.3</v>
      </c>
      <c r="F579">
        <v>199.7</v>
      </c>
      <c r="G579">
        <v>85.3</v>
      </c>
    </row>
    <row r="580" spans="1:7" x14ac:dyDescent="0.25">
      <c r="A580" s="2">
        <v>45839</v>
      </c>
      <c r="B580">
        <v>2025</v>
      </c>
      <c r="C580">
        <v>7</v>
      </c>
      <c r="D580" s="1" t="s">
        <v>122</v>
      </c>
      <c r="E580">
        <v>178.02</v>
      </c>
      <c r="F580">
        <v>215.57</v>
      </c>
      <c r="G580">
        <v>82.6</v>
      </c>
    </row>
    <row r="581" spans="1:7" x14ac:dyDescent="0.25">
      <c r="A581" s="2">
        <v>45870</v>
      </c>
      <c r="B581">
        <v>2025</v>
      </c>
      <c r="C581">
        <v>8</v>
      </c>
      <c r="D581" s="1" t="s">
        <v>122</v>
      </c>
      <c r="E581">
        <v>198.72</v>
      </c>
      <c r="F581">
        <v>248.76</v>
      </c>
      <c r="G581">
        <v>79.900000000000006</v>
      </c>
    </row>
    <row r="582" spans="1:7" x14ac:dyDescent="0.25">
      <c r="A582" s="2">
        <v>45901</v>
      </c>
      <c r="B582">
        <v>2025</v>
      </c>
      <c r="C582">
        <v>9</v>
      </c>
      <c r="D582" s="1" t="s">
        <v>122</v>
      </c>
      <c r="E582">
        <v>172.56</v>
      </c>
      <c r="F582">
        <v>204.03</v>
      </c>
      <c r="G582">
        <v>84.6</v>
      </c>
    </row>
    <row r="583" spans="1:7" x14ac:dyDescent="0.25">
      <c r="A583" s="2">
        <v>45931</v>
      </c>
      <c r="B583">
        <v>2025</v>
      </c>
      <c r="C583">
        <v>10</v>
      </c>
      <c r="D583" s="1" t="s">
        <v>122</v>
      </c>
      <c r="E583">
        <v>170.41</v>
      </c>
      <c r="F583">
        <v>207.92</v>
      </c>
      <c r="G583">
        <v>82</v>
      </c>
    </row>
    <row r="584" spans="1:7" x14ac:dyDescent="0.25">
      <c r="A584" s="2">
        <v>45962</v>
      </c>
      <c r="B584">
        <v>2025</v>
      </c>
      <c r="C584">
        <v>11</v>
      </c>
      <c r="D584" s="1" t="s">
        <v>122</v>
      </c>
      <c r="E584">
        <v>160.49</v>
      </c>
      <c r="F584">
        <v>194.44</v>
      </c>
      <c r="G584">
        <v>82.5</v>
      </c>
    </row>
    <row r="585" spans="1:7" x14ac:dyDescent="0.25">
      <c r="A585" s="2">
        <v>45992</v>
      </c>
      <c r="B585">
        <v>2025</v>
      </c>
      <c r="C585">
        <v>12</v>
      </c>
      <c r="D585" s="1" t="s">
        <v>122</v>
      </c>
      <c r="E585">
        <v>147.59</v>
      </c>
      <c r="F585">
        <v>180.78</v>
      </c>
      <c r="G585">
        <v>81.599999999999994</v>
      </c>
    </row>
    <row r="586" spans="1:7" x14ac:dyDescent="0.25">
      <c r="A586" s="2">
        <v>46023</v>
      </c>
      <c r="B586">
        <v>2026</v>
      </c>
      <c r="C586">
        <v>1</v>
      </c>
      <c r="D586" s="1" t="s">
        <v>122</v>
      </c>
      <c r="E586">
        <v>145.52000000000001</v>
      </c>
      <c r="F586">
        <v>181.93</v>
      </c>
      <c r="G586">
        <v>80</v>
      </c>
    </row>
    <row r="587" spans="1:7" x14ac:dyDescent="0.25">
      <c r="A587" s="2">
        <v>46054</v>
      </c>
      <c r="B587">
        <v>2026</v>
      </c>
      <c r="C587">
        <v>2</v>
      </c>
      <c r="D587" s="1" t="s">
        <v>122</v>
      </c>
      <c r="E587">
        <v>137.34</v>
      </c>
      <c r="F587">
        <v>168.91</v>
      </c>
      <c r="G587">
        <v>81.3</v>
      </c>
    </row>
    <row r="588" spans="1:7" x14ac:dyDescent="0.25">
      <c r="A588" s="2">
        <v>46082</v>
      </c>
      <c r="B588">
        <v>2026</v>
      </c>
      <c r="C588">
        <v>3</v>
      </c>
      <c r="D588" s="1" t="s">
        <v>122</v>
      </c>
      <c r="E588">
        <v>137.54</v>
      </c>
      <c r="F588">
        <v>169.48</v>
      </c>
      <c r="G588">
        <v>81.2</v>
      </c>
    </row>
    <row r="589" spans="1:7" x14ac:dyDescent="0.25">
      <c r="A589" s="2">
        <v>46113</v>
      </c>
      <c r="B589">
        <v>2026</v>
      </c>
      <c r="C589">
        <v>4</v>
      </c>
      <c r="D589" s="1" t="s">
        <v>122</v>
      </c>
      <c r="E589">
        <v>153.16999999999999</v>
      </c>
      <c r="F589">
        <v>188.63</v>
      </c>
      <c r="G589">
        <v>81.2</v>
      </c>
    </row>
    <row r="590" spans="1:7" x14ac:dyDescent="0.25">
      <c r="A590" s="2">
        <v>40179</v>
      </c>
      <c r="B590">
        <v>2010</v>
      </c>
      <c r="C590">
        <v>1</v>
      </c>
      <c r="D590" s="1" t="s">
        <v>81</v>
      </c>
      <c r="E590">
        <v>13.81</v>
      </c>
      <c r="F590">
        <v>16.850000000000001</v>
      </c>
      <c r="G590">
        <v>82</v>
      </c>
    </row>
    <row r="591" spans="1:7" x14ac:dyDescent="0.25">
      <c r="A591" s="2">
        <v>40210</v>
      </c>
      <c r="B591">
        <v>2010</v>
      </c>
      <c r="C591">
        <v>2</v>
      </c>
      <c r="D591" s="1" t="s">
        <v>81</v>
      </c>
      <c r="E591">
        <v>13.47</v>
      </c>
      <c r="F591">
        <v>16.16</v>
      </c>
      <c r="G591">
        <v>83.4</v>
      </c>
    </row>
    <row r="592" spans="1:7" x14ac:dyDescent="0.25">
      <c r="A592" s="2">
        <v>40238</v>
      </c>
      <c r="B592">
        <v>2010</v>
      </c>
      <c r="C592">
        <v>3</v>
      </c>
      <c r="D592" s="1" t="s">
        <v>81</v>
      </c>
      <c r="E592">
        <v>14.84</v>
      </c>
      <c r="F592">
        <v>18.3</v>
      </c>
      <c r="G592">
        <v>81.099999999999994</v>
      </c>
    </row>
    <row r="593" spans="1:7" x14ac:dyDescent="0.25">
      <c r="A593" s="2">
        <v>40269</v>
      </c>
      <c r="B593">
        <v>2010</v>
      </c>
      <c r="C593">
        <v>4</v>
      </c>
      <c r="D593" s="1" t="s">
        <v>81</v>
      </c>
      <c r="E593">
        <v>15.49</v>
      </c>
      <c r="F593">
        <v>19</v>
      </c>
      <c r="G593">
        <v>81.5</v>
      </c>
    </row>
    <row r="594" spans="1:7" x14ac:dyDescent="0.25">
      <c r="A594" s="2">
        <v>40299</v>
      </c>
      <c r="B594">
        <v>2010</v>
      </c>
      <c r="C594">
        <v>5</v>
      </c>
      <c r="D594" s="1" t="s">
        <v>81</v>
      </c>
      <c r="E594">
        <v>16.850000000000001</v>
      </c>
      <c r="F594">
        <v>19.79</v>
      </c>
      <c r="G594">
        <v>85.1</v>
      </c>
    </row>
    <row r="595" spans="1:7" x14ac:dyDescent="0.25">
      <c r="A595" s="2">
        <v>40330</v>
      </c>
      <c r="B595">
        <v>2010</v>
      </c>
      <c r="C595">
        <v>6</v>
      </c>
      <c r="D595" s="1" t="s">
        <v>81</v>
      </c>
      <c r="E595">
        <v>18.37</v>
      </c>
      <c r="F595">
        <v>23.42</v>
      </c>
      <c r="G595">
        <v>78.5</v>
      </c>
    </row>
    <row r="596" spans="1:7" x14ac:dyDescent="0.25">
      <c r="A596" s="2">
        <v>40360</v>
      </c>
      <c r="B596">
        <v>2010</v>
      </c>
      <c r="C596">
        <v>7</v>
      </c>
      <c r="D596" s="1" t="s">
        <v>81</v>
      </c>
      <c r="E596">
        <v>19.47</v>
      </c>
      <c r="F596">
        <v>23.05</v>
      </c>
      <c r="G596">
        <v>84.5</v>
      </c>
    </row>
    <row r="597" spans="1:7" x14ac:dyDescent="0.25">
      <c r="A597" s="2">
        <v>40391</v>
      </c>
      <c r="B597">
        <v>2010</v>
      </c>
      <c r="C597">
        <v>8</v>
      </c>
      <c r="D597" s="1" t="s">
        <v>81</v>
      </c>
      <c r="E597">
        <v>19.61</v>
      </c>
      <c r="F597">
        <v>23.35</v>
      </c>
      <c r="G597">
        <v>84</v>
      </c>
    </row>
    <row r="598" spans="1:7" x14ac:dyDescent="0.25">
      <c r="A598" s="2">
        <v>40422</v>
      </c>
      <c r="B598">
        <v>2010</v>
      </c>
      <c r="C598">
        <v>9</v>
      </c>
      <c r="D598" s="1" t="s">
        <v>81</v>
      </c>
      <c r="E598">
        <v>19.18</v>
      </c>
      <c r="F598">
        <v>24.27</v>
      </c>
      <c r="G598">
        <v>79</v>
      </c>
    </row>
    <row r="599" spans="1:7" x14ac:dyDescent="0.25">
      <c r="A599" s="2">
        <v>40452</v>
      </c>
      <c r="B599">
        <v>2010</v>
      </c>
      <c r="C599">
        <v>10</v>
      </c>
      <c r="D599" s="1" t="s">
        <v>81</v>
      </c>
      <c r="E599">
        <v>18.89</v>
      </c>
      <c r="F599">
        <v>24.07</v>
      </c>
      <c r="G599">
        <v>78.5</v>
      </c>
    </row>
    <row r="600" spans="1:7" x14ac:dyDescent="0.25">
      <c r="A600" s="2">
        <v>40483</v>
      </c>
      <c r="B600">
        <v>2010</v>
      </c>
      <c r="C600">
        <v>11</v>
      </c>
      <c r="D600" s="1" t="s">
        <v>81</v>
      </c>
      <c r="E600">
        <v>17.54</v>
      </c>
      <c r="F600">
        <v>20.74</v>
      </c>
      <c r="G600">
        <v>84.6</v>
      </c>
    </row>
    <row r="601" spans="1:7" x14ac:dyDescent="0.25">
      <c r="A601" s="2">
        <v>40513</v>
      </c>
      <c r="B601">
        <v>2010</v>
      </c>
      <c r="C601">
        <v>12</v>
      </c>
      <c r="D601" s="1" t="s">
        <v>81</v>
      </c>
      <c r="E601">
        <v>15.58</v>
      </c>
      <c r="F601">
        <v>19.61</v>
      </c>
      <c r="G601">
        <v>79.400000000000006</v>
      </c>
    </row>
    <row r="602" spans="1:7" x14ac:dyDescent="0.25">
      <c r="A602" s="2">
        <v>40544</v>
      </c>
      <c r="B602">
        <v>2011</v>
      </c>
      <c r="C602">
        <v>1</v>
      </c>
      <c r="D602" s="1" t="s">
        <v>81</v>
      </c>
      <c r="E602">
        <v>15.18</v>
      </c>
      <c r="F602">
        <v>18.55</v>
      </c>
      <c r="G602">
        <v>81.900000000000006</v>
      </c>
    </row>
    <row r="603" spans="1:7" x14ac:dyDescent="0.25">
      <c r="A603" s="2">
        <v>40575</v>
      </c>
      <c r="B603">
        <v>2011</v>
      </c>
      <c r="C603">
        <v>2</v>
      </c>
      <c r="D603" s="1" t="s">
        <v>81</v>
      </c>
      <c r="E603">
        <v>15.27</v>
      </c>
      <c r="F603">
        <v>18.010000000000002</v>
      </c>
      <c r="G603">
        <v>84.8</v>
      </c>
    </row>
    <row r="604" spans="1:7" x14ac:dyDescent="0.25">
      <c r="A604" s="2">
        <v>40603</v>
      </c>
      <c r="B604">
        <v>2011</v>
      </c>
      <c r="C604">
        <v>3</v>
      </c>
      <c r="D604" s="1" t="s">
        <v>81</v>
      </c>
      <c r="E604">
        <v>16.420000000000002</v>
      </c>
      <c r="F604">
        <v>19.78</v>
      </c>
      <c r="G604">
        <v>83</v>
      </c>
    </row>
    <row r="605" spans="1:7" x14ac:dyDescent="0.25">
      <c r="A605" s="2">
        <v>40634</v>
      </c>
      <c r="B605">
        <v>2011</v>
      </c>
      <c r="C605">
        <v>4</v>
      </c>
      <c r="D605" s="1" t="s">
        <v>81</v>
      </c>
      <c r="E605">
        <v>17.190000000000001</v>
      </c>
      <c r="F605">
        <v>20.76</v>
      </c>
      <c r="G605">
        <v>82.8</v>
      </c>
    </row>
    <row r="606" spans="1:7" x14ac:dyDescent="0.25">
      <c r="A606" s="2">
        <v>40664</v>
      </c>
      <c r="B606">
        <v>2011</v>
      </c>
      <c r="C606">
        <v>5</v>
      </c>
      <c r="D606" s="1" t="s">
        <v>81</v>
      </c>
      <c r="E606">
        <v>18.190000000000001</v>
      </c>
      <c r="F606">
        <v>21.73</v>
      </c>
      <c r="G606">
        <v>83.7</v>
      </c>
    </row>
    <row r="607" spans="1:7" x14ac:dyDescent="0.25">
      <c r="A607" s="2">
        <v>40695</v>
      </c>
      <c r="B607">
        <v>2011</v>
      </c>
      <c r="C607">
        <v>6</v>
      </c>
      <c r="D607" s="1" t="s">
        <v>81</v>
      </c>
      <c r="E607">
        <v>19.579999999999998</v>
      </c>
      <c r="F607">
        <v>23.4</v>
      </c>
      <c r="G607">
        <v>83.7</v>
      </c>
    </row>
    <row r="608" spans="1:7" x14ac:dyDescent="0.25">
      <c r="A608" s="2">
        <v>40725</v>
      </c>
      <c r="B608">
        <v>2011</v>
      </c>
      <c r="C608">
        <v>7</v>
      </c>
      <c r="D608" s="1" t="s">
        <v>81</v>
      </c>
      <c r="E608">
        <v>22.25</v>
      </c>
      <c r="F608">
        <v>26.99</v>
      </c>
      <c r="G608">
        <v>82.4</v>
      </c>
    </row>
    <row r="609" spans="1:7" x14ac:dyDescent="0.25">
      <c r="A609" s="2">
        <v>40756</v>
      </c>
      <c r="B609">
        <v>2011</v>
      </c>
      <c r="C609">
        <v>8</v>
      </c>
      <c r="D609" s="1" t="s">
        <v>81</v>
      </c>
      <c r="E609">
        <v>21.93</v>
      </c>
      <c r="F609">
        <v>26.48</v>
      </c>
      <c r="G609">
        <v>82.8</v>
      </c>
    </row>
    <row r="610" spans="1:7" x14ac:dyDescent="0.25">
      <c r="A610" s="2">
        <v>40787</v>
      </c>
      <c r="B610">
        <v>2011</v>
      </c>
      <c r="C610">
        <v>9</v>
      </c>
      <c r="D610" s="1" t="s">
        <v>81</v>
      </c>
      <c r="E610">
        <v>20.05</v>
      </c>
      <c r="F610">
        <v>24.27</v>
      </c>
      <c r="G610">
        <v>82.6</v>
      </c>
    </row>
    <row r="611" spans="1:7" x14ac:dyDescent="0.25">
      <c r="A611" s="2">
        <v>40817</v>
      </c>
      <c r="B611">
        <v>2011</v>
      </c>
      <c r="C611">
        <v>10</v>
      </c>
      <c r="D611" s="1" t="s">
        <v>81</v>
      </c>
      <c r="E611">
        <v>20.89</v>
      </c>
      <c r="F611">
        <v>25.51</v>
      </c>
      <c r="G611">
        <v>81.900000000000006</v>
      </c>
    </row>
    <row r="612" spans="1:7" x14ac:dyDescent="0.25">
      <c r="A612" s="2">
        <v>40848</v>
      </c>
      <c r="B612">
        <v>2011</v>
      </c>
      <c r="C612">
        <v>11</v>
      </c>
      <c r="D612" s="1" t="s">
        <v>81</v>
      </c>
      <c r="E612">
        <v>20.09</v>
      </c>
      <c r="F612">
        <v>24.54</v>
      </c>
      <c r="G612">
        <v>81.900000000000006</v>
      </c>
    </row>
    <row r="613" spans="1:7" x14ac:dyDescent="0.25">
      <c r="A613" s="2">
        <v>40878</v>
      </c>
      <c r="B613">
        <v>2011</v>
      </c>
      <c r="C613">
        <v>12</v>
      </c>
      <c r="D613" s="1" t="s">
        <v>81</v>
      </c>
      <c r="E613">
        <v>17.73</v>
      </c>
      <c r="F613">
        <v>21.7</v>
      </c>
      <c r="G613">
        <v>81.7</v>
      </c>
    </row>
    <row r="614" spans="1:7" x14ac:dyDescent="0.25">
      <c r="A614" s="2">
        <v>40909</v>
      </c>
      <c r="B614">
        <v>2012</v>
      </c>
      <c r="C614">
        <v>1</v>
      </c>
      <c r="D614" s="1" t="s">
        <v>81</v>
      </c>
      <c r="E614">
        <v>17.440000000000001</v>
      </c>
      <c r="F614">
        <v>21.21</v>
      </c>
      <c r="G614">
        <v>82.2</v>
      </c>
    </row>
    <row r="615" spans="1:7" x14ac:dyDescent="0.25">
      <c r="A615" s="2">
        <v>40940</v>
      </c>
      <c r="B615">
        <v>2012</v>
      </c>
      <c r="C615">
        <v>2</v>
      </c>
      <c r="D615" s="1" t="s">
        <v>81</v>
      </c>
      <c r="E615">
        <v>17.23</v>
      </c>
      <c r="F615">
        <v>20.49</v>
      </c>
      <c r="G615">
        <v>84.1</v>
      </c>
    </row>
    <row r="616" spans="1:7" x14ac:dyDescent="0.25">
      <c r="A616" s="2">
        <v>40969</v>
      </c>
      <c r="B616">
        <v>2012</v>
      </c>
      <c r="C616">
        <v>3</v>
      </c>
      <c r="D616" s="1" t="s">
        <v>81</v>
      </c>
      <c r="E616">
        <v>17.12</v>
      </c>
      <c r="F616">
        <v>20.79</v>
      </c>
      <c r="G616">
        <v>82.4</v>
      </c>
    </row>
    <row r="617" spans="1:7" x14ac:dyDescent="0.25">
      <c r="A617" s="2">
        <v>41000</v>
      </c>
      <c r="B617">
        <v>2012</v>
      </c>
      <c r="C617">
        <v>4</v>
      </c>
      <c r="D617" s="1" t="s">
        <v>81</v>
      </c>
      <c r="E617">
        <v>19.71</v>
      </c>
      <c r="F617">
        <v>25.1</v>
      </c>
      <c r="G617">
        <v>78.5</v>
      </c>
    </row>
    <row r="618" spans="1:7" x14ac:dyDescent="0.25">
      <c r="A618" s="2">
        <v>41030</v>
      </c>
      <c r="B618">
        <v>2012</v>
      </c>
      <c r="C618">
        <v>5</v>
      </c>
      <c r="D618" s="1" t="s">
        <v>81</v>
      </c>
      <c r="E618">
        <v>20.78</v>
      </c>
      <c r="F618">
        <v>25.71</v>
      </c>
      <c r="G618">
        <v>80.8</v>
      </c>
    </row>
    <row r="619" spans="1:7" x14ac:dyDescent="0.25">
      <c r="A619" s="2">
        <v>41061</v>
      </c>
      <c r="B619">
        <v>2012</v>
      </c>
      <c r="C619">
        <v>6</v>
      </c>
      <c r="D619" s="1" t="s">
        <v>81</v>
      </c>
      <c r="E619">
        <v>22.15</v>
      </c>
      <c r="F619">
        <v>27.62</v>
      </c>
      <c r="G619">
        <v>80.2</v>
      </c>
    </row>
    <row r="620" spans="1:7" x14ac:dyDescent="0.25">
      <c r="A620" s="2">
        <v>41091</v>
      </c>
      <c r="B620">
        <v>2012</v>
      </c>
      <c r="C620">
        <v>7</v>
      </c>
      <c r="D620" s="1" t="s">
        <v>81</v>
      </c>
      <c r="E620">
        <v>23.61</v>
      </c>
      <c r="F620">
        <v>27.55</v>
      </c>
      <c r="G620">
        <v>85.7</v>
      </c>
    </row>
    <row r="621" spans="1:7" x14ac:dyDescent="0.25">
      <c r="A621" s="2">
        <v>41122</v>
      </c>
      <c r="B621">
        <v>2012</v>
      </c>
      <c r="C621">
        <v>8</v>
      </c>
      <c r="D621" s="1" t="s">
        <v>81</v>
      </c>
      <c r="E621">
        <v>23.44</v>
      </c>
      <c r="F621">
        <v>29.42</v>
      </c>
      <c r="G621">
        <v>79.7</v>
      </c>
    </row>
    <row r="622" spans="1:7" x14ac:dyDescent="0.25">
      <c r="A622" s="2">
        <v>41153</v>
      </c>
      <c r="B622">
        <v>2012</v>
      </c>
      <c r="C622">
        <v>9</v>
      </c>
      <c r="D622" s="1" t="s">
        <v>81</v>
      </c>
      <c r="E622">
        <v>23.18</v>
      </c>
      <c r="F622">
        <v>27.13</v>
      </c>
      <c r="G622">
        <v>85.5</v>
      </c>
    </row>
    <row r="623" spans="1:7" x14ac:dyDescent="0.25">
      <c r="A623" s="2">
        <v>41183</v>
      </c>
      <c r="B623">
        <v>2012</v>
      </c>
      <c r="C623">
        <v>10</v>
      </c>
      <c r="D623" s="1" t="s">
        <v>81</v>
      </c>
      <c r="E623">
        <v>22.79</v>
      </c>
      <c r="F623">
        <v>27.82</v>
      </c>
      <c r="G623">
        <v>81.900000000000006</v>
      </c>
    </row>
    <row r="624" spans="1:7" x14ac:dyDescent="0.25">
      <c r="A624" s="2">
        <v>41214</v>
      </c>
      <c r="B624">
        <v>2012</v>
      </c>
      <c r="C624">
        <v>11</v>
      </c>
      <c r="D624" s="1" t="s">
        <v>81</v>
      </c>
      <c r="E624">
        <v>21.41</v>
      </c>
      <c r="F624">
        <v>26.72</v>
      </c>
      <c r="G624">
        <v>80.099999999999994</v>
      </c>
    </row>
    <row r="625" spans="1:7" x14ac:dyDescent="0.25">
      <c r="A625" s="2">
        <v>41244</v>
      </c>
      <c r="B625">
        <v>2012</v>
      </c>
      <c r="C625">
        <v>12</v>
      </c>
      <c r="D625" s="1" t="s">
        <v>81</v>
      </c>
      <c r="E625">
        <v>20.05</v>
      </c>
      <c r="F625">
        <v>23.07</v>
      </c>
      <c r="G625">
        <v>86.9</v>
      </c>
    </row>
    <row r="626" spans="1:7" x14ac:dyDescent="0.25">
      <c r="A626" s="2">
        <v>41275</v>
      </c>
      <c r="B626">
        <v>2013</v>
      </c>
      <c r="C626">
        <v>1</v>
      </c>
      <c r="D626" s="1" t="s">
        <v>81</v>
      </c>
      <c r="E626">
        <v>19.96</v>
      </c>
      <c r="F626">
        <v>24.86</v>
      </c>
      <c r="G626">
        <v>80.3</v>
      </c>
    </row>
    <row r="627" spans="1:7" x14ac:dyDescent="0.25">
      <c r="A627" s="2">
        <v>41306</v>
      </c>
      <c r="B627">
        <v>2013</v>
      </c>
      <c r="C627">
        <v>2</v>
      </c>
      <c r="D627" s="1" t="s">
        <v>81</v>
      </c>
      <c r="E627">
        <v>19.21</v>
      </c>
      <c r="F627">
        <v>23.91</v>
      </c>
      <c r="G627">
        <v>80.3</v>
      </c>
    </row>
    <row r="628" spans="1:7" x14ac:dyDescent="0.25">
      <c r="A628" s="2">
        <v>41334</v>
      </c>
      <c r="B628">
        <v>2013</v>
      </c>
      <c r="C628">
        <v>3</v>
      </c>
      <c r="D628" s="1" t="s">
        <v>81</v>
      </c>
      <c r="E628">
        <v>18.420000000000002</v>
      </c>
      <c r="F628">
        <v>21.92</v>
      </c>
      <c r="G628">
        <v>84</v>
      </c>
    </row>
    <row r="629" spans="1:7" x14ac:dyDescent="0.25">
      <c r="A629" s="2">
        <v>41365</v>
      </c>
      <c r="B629">
        <v>2013</v>
      </c>
      <c r="C629">
        <v>4</v>
      </c>
      <c r="D629" s="1" t="s">
        <v>81</v>
      </c>
      <c r="E629">
        <v>21.55</v>
      </c>
      <c r="F629">
        <v>25.63</v>
      </c>
      <c r="G629">
        <v>84.1</v>
      </c>
    </row>
    <row r="630" spans="1:7" x14ac:dyDescent="0.25">
      <c r="A630" s="2">
        <v>41395</v>
      </c>
      <c r="B630">
        <v>2013</v>
      </c>
      <c r="C630">
        <v>5</v>
      </c>
      <c r="D630" s="1" t="s">
        <v>81</v>
      </c>
      <c r="E630">
        <v>22.35</v>
      </c>
      <c r="F630">
        <v>27.37</v>
      </c>
      <c r="G630">
        <v>81.7</v>
      </c>
    </row>
    <row r="631" spans="1:7" x14ac:dyDescent="0.25">
      <c r="A631" s="2">
        <v>41426</v>
      </c>
      <c r="B631">
        <v>2013</v>
      </c>
      <c r="C631">
        <v>6</v>
      </c>
      <c r="D631" s="1" t="s">
        <v>81</v>
      </c>
      <c r="E631">
        <v>25.1</v>
      </c>
      <c r="F631">
        <v>30.33</v>
      </c>
      <c r="G631">
        <v>82.8</v>
      </c>
    </row>
    <row r="632" spans="1:7" x14ac:dyDescent="0.25">
      <c r="A632" s="2">
        <v>41456</v>
      </c>
      <c r="B632">
        <v>2013</v>
      </c>
      <c r="C632">
        <v>7</v>
      </c>
      <c r="D632" s="1" t="s">
        <v>81</v>
      </c>
      <c r="E632">
        <v>25.68</v>
      </c>
      <c r="F632">
        <v>32.61</v>
      </c>
      <c r="G632">
        <v>78.8</v>
      </c>
    </row>
    <row r="633" spans="1:7" x14ac:dyDescent="0.25">
      <c r="A633" s="2">
        <v>41487</v>
      </c>
      <c r="B633">
        <v>2013</v>
      </c>
      <c r="C633">
        <v>8</v>
      </c>
      <c r="D633" s="1" t="s">
        <v>81</v>
      </c>
      <c r="E633">
        <v>26.73</v>
      </c>
      <c r="F633">
        <v>31.77</v>
      </c>
      <c r="G633">
        <v>84.2</v>
      </c>
    </row>
    <row r="634" spans="1:7" x14ac:dyDescent="0.25">
      <c r="A634" s="2">
        <v>41518</v>
      </c>
      <c r="B634">
        <v>2013</v>
      </c>
      <c r="C634">
        <v>9</v>
      </c>
      <c r="D634" s="1" t="s">
        <v>81</v>
      </c>
      <c r="E634">
        <v>25.43</v>
      </c>
      <c r="F634">
        <v>30.54</v>
      </c>
      <c r="G634">
        <v>83.3</v>
      </c>
    </row>
    <row r="635" spans="1:7" x14ac:dyDescent="0.25">
      <c r="A635" s="2">
        <v>41548</v>
      </c>
      <c r="B635">
        <v>2013</v>
      </c>
      <c r="C635">
        <v>10</v>
      </c>
      <c r="D635" s="1" t="s">
        <v>81</v>
      </c>
      <c r="E635">
        <v>25.52</v>
      </c>
      <c r="F635">
        <v>30.56</v>
      </c>
      <c r="G635">
        <v>83.5</v>
      </c>
    </row>
    <row r="636" spans="1:7" x14ac:dyDescent="0.25">
      <c r="A636" s="2">
        <v>41579</v>
      </c>
      <c r="B636">
        <v>2013</v>
      </c>
      <c r="C636">
        <v>11</v>
      </c>
      <c r="D636" s="1" t="s">
        <v>81</v>
      </c>
      <c r="E636">
        <v>24.29</v>
      </c>
      <c r="F636">
        <v>30.14</v>
      </c>
      <c r="G636">
        <v>80.599999999999994</v>
      </c>
    </row>
    <row r="637" spans="1:7" x14ac:dyDescent="0.25">
      <c r="A637" s="2">
        <v>41609</v>
      </c>
      <c r="B637">
        <v>2013</v>
      </c>
      <c r="C637">
        <v>12</v>
      </c>
      <c r="D637" s="1" t="s">
        <v>81</v>
      </c>
      <c r="E637">
        <v>21</v>
      </c>
      <c r="F637">
        <v>25.95</v>
      </c>
      <c r="G637">
        <v>80.900000000000006</v>
      </c>
    </row>
    <row r="638" spans="1:7" x14ac:dyDescent="0.25">
      <c r="A638" s="2">
        <v>41640</v>
      </c>
      <c r="B638">
        <v>2014</v>
      </c>
      <c r="C638">
        <v>1</v>
      </c>
      <c r="D638" s="1" t="s">
        <v>81</v>
      </c>
      <c r="E638">
        <v>21.45</v>
      </c>
      <c r="F638">
        <v>26.51</v>
      </c>
      <c r="G638">
        <v>80.900000000000006</v>
      </c>
    </row>
    <row r="639" spans="1:7" x14ac:dyDescent="0.25">
      <c r="A639" s="2">
        <v>41671</v>
      </c>
      <c r="B639">
        <v>2014</v>
      </c>
      <c r="C639">
        <v>2</v>
      </c>
      <c r="D639" s="1" t="s">
        <v>81</v>
      </c>
      <c r="E639">
        <v>20.12</v>
      </c>
      <c r="F639">
        <v>25.68</v>
      </c>
      <c r="G639">
        <v>78.400000000000006</v>
      </c>
    </row>
    <row r="640" spans="1:7" x14ac:dyDescent="0.25">
      <c r="A640" s="2">
        <v>41699</v>
      </c>
      <c r="B640">
        <v>2014</v>
      </c>
      <c r="C640">
        <v>3</v>
      </c>
      <c r="D640" s="1" t="s">
        <v>81</v>
      </c>
      <c r="E640">
        <v>22.32</v>
      </c>
      <c r="F640">
        <v>26.68</v>
      </c>
      <c r="G640">
        <v>83.7</v>
      </c>
    </row>
    <row r="641" spans="1:7" x14ac:dyDescent="0.25">
      <c r="A641" s="2">
        <v>41730</v>
      </c>
      <c r="B641">
        <v>2014</v>
      </c>
      <c r="C641">
        <v>4</v>
      </c>
      <c r="D641" s="1" t="s">
        <v>81</v>
      </c>
      <c r="E641">
        <v>23.19</v>
      </c>
      <c r="F641">
        <v>27.63</v>
      </c>
      <c r="G641">
        <v>83.9</v>
      </c>
    </row>
    <row r="642" spans="1:7" x14ac:dyDescent="0.25">
      <c r="A642" s="2">
        <v>41760</v>
      </c>
      <c r="B642">
        <v>2014</v>
      </c>
      <c r="C642">
        <v>5</v>
      </c>
      <c r="D642" s="1" t="s">
        <v>81</v>
      </c>
      <c r="E642">
        <v>25.1</v>
      </c>
      <c r="F642">
        <v>30.79</v>
      </c>
      <c r="G642">
        <v>81.5</v>
      </c>
    </row>
    <row r="643" spans="1:7" x14ac:dyDescent="0.25">
      <c r="A643" s="2">
        <v>41791</v>
      </c>
      <c r="B643">
        <v>2014</v>
      </c>
      <c r="C643">
        <v>6</v>
      </c>
      <c r="D643" s="1" t="s">
        <v>81</v>
      </c>
      <c r="E643">
        <v>26.57</v>
      </c>
      <c r="F643">
        <v>32.74</v>
      </c>
      <c r="G643">
        <v>81.099999999999994</v>
      </c>
    </row>
    <row r="644" spans="1:7" x14ac:dyDescent="0.25">
      <c r="A644" s="2">
        <v>41821</v>
      </c>
      <c r="B644">
        <v>2014</v>
      </c>
      <c r="C644">
        <v>7</v>
      </c>
      <c r="D644" s="1" t="s">
        <v>81</v>
      </c>
      <c r="E644">
        <v>30.57</v>
      </c>
      <c r="F644">
        <v>36.78</v>
      </c>
      <c r="G644">
        <v>83.1</v>
      </c>
    </row>
    <row r="645" spans="1:7" x14ac:dyDescent="0.25">
      <c r="A645" s="2">
        <v>41852</v>
      </c>
      <c r="B645">
        <v>2014</v>
      </c>
      <c r="C645">
        <v>8</v>
      </c>
      <c r="D645" s="1" t="s">
        <v>81</v>
      </c>
      <c r="E645">
        <v>28.54</v>
      </c>
      <c r="F645">
        <v>34.42</v>
      </c>
      <c r="G645">
        <v>82.9</v>
      </c>
    </row>
    <row r="646" spans="1:7" x14ac:dyDescent="0.25">
      <c r="A646" s="2">
        <v>41883</v>
      </c>
      <c r="B646">
        <v>2014</v>
      </c>
      <c r="C646">
        <v>9</v>
      </c>
      <c r="D646" s="1" t="s">
        <v>81</v>
      </c>
      <c r="E646">
        <v>27.77</v>
      </c>
      <c r="F646">
        <v>32.67</v>
      </c>
      <c r="G646">
        <v>85</v>
      </c>
    </row>
    <row r="647" spans="1:7" x14ac:dyDescent="0.25">
      <c r="A647" s="2">
        <v>41913</v>
      </c>
      <c r="B647">
        <v>2014</v>
      </c>
      <c r="C647">
        <v>10</v>
      </c>
      <c r="D647" s="1" t="s">
        <v>81</v>
      </c>
      <c r="E647">
        <v>26.87</v>
      </c>
      <c r="F647">
        <v>32.380000000000003</v>
      </c>
      <c r="G647">
        <v>83</v>
      </c>
    </row>
    <row r="648" spans="1:7" x14ac:dyDescent="0.25">
      <c r="A648" s="2">
        <v>41944</v>
      </c>
      <c r="B648">
        <v>2014</v>
      </c>
      <c r="C648">
        <v>11</v>
      </c>
      <c r="D648" s="1" t="s">
        <v>81</v>
      </c>
      <c r="E648">
        <v>26.5</v>
      </c>
      <c r="F648">
        <v>32.020000000000003</v>
      </c>
      <c r="G648">
        <v>82.8</v>
      </c>
    </row>
    <row r="649" spans="1:7" x14ac:dyDescent="0.25">
      <c r="A649" s="2">
        <v>41974</v>
      </c>
      <c r="B649">
        <v>2014</v>
      </c>
      <c r="C649">
        <v>12</v>
      </c>
      <c r="D649" s="1" t="s">
        <v>81</v>
      </c>
      <c r="E649">
        <v>23.96</v>
      </c>
      <c r="F649">
        <v>29.22</v>
      </c>
      <c r="G649">
        <v>82</v>
      </c>
    </row>
    <row r="650" spans="1:7" x14ac:dyDescent="0.25">
      <c r="A650" s="2">
        <v>42005</v>
      </c>
      <c r="B650">
        <v>2015</v>
      </c>
      <c r="C650">
        <v>1</v>
      </c>
      <c r="D650" s="1" t="s">
        <v>81</v>
      </c>
      <c r="E650">
        <v>22.58</v>
      </c>
      <c r="F650">
        <v>27.93</v>
      </c>
      <c r="G650">
        <v>80.8</v>
      </c>
    </row>
    <row r="651" spans="1:7" x14ac:dyDescent="0.25">
      <c r="A651" s="2">
        <v>42036</v>
      </c>
      <c r="B651">
        <v>2015</v>
      </c>
      <c r="C651">
        <v>2</v>
      </c>
      <c r="D651" s="1" t="s">
        <v>81</v>
      </c>
      <c r="E651">
        <v>21.91</v>
      </c>
      <c r="F651">
        <v>25.79</v>
      </c>
      <c r="G651">
        <v>85</v>
      </c>
    </row>
    <row r="652" spans="1:7" x14ac:dyDescent="0.25">
      <c r="A652" s="2">
        <v>42064</v>
      </c>
      <c r="B652">
        <v>2015</v>
      </c>
      <c r="C652">
        <v>3</v>
      </c>
      <c r="D652" s="1" t="s">
        <v>81</v>
      </c>
      <c r="E652">
        <v>22.77</v>
      </c>
      <c r="F652">
        <v>28.31</v>
      </c>
      <c r="G652">
        <v>80.400000000000006</v>
      </c>
    </row>
    <row r="653" spans="1:7" x14ac:dyDescent="0.25">
      <c r="A653" s="2">
        <v>42095</v>
      </c>
      <c r="B653">
        <v>2015</v>
      </c>
      <c r="C653">
        <v>4</v>
      </c>
      <c r="D653" s="1" t="s">
        <v>81</v>
      </c>
      <c r="E653">
        <v>24.02</v>
      </c>
      <c r="F653">
        <v>28.53</v>
      </c>
      <c r="G653">
        <v>84.2</v>
      </c>
    </row>
    <row r="654" spans="1:7" x14ac:dyDescent="0.25">
      <c r="A654" s="2">
        <v>42125</v>
      </c>
      <c r="B654">
        <v>2015</v>
      </c>
      <c r="C654">
        <v>5</v>
      </c>
      <c r="D654" s="1" t="s">
        <v>81</v>
      </c>
      <c r="E654">
        <v>27.04</v>
      </c>
      <c r="F654">
        <v>32.53</v>
      </c>
      <c r="G654">
        <v>83.1</v>
      </c>
    </row>
    <row r="655" spans="1:7" x14ac:dyDescent="0.25">
      <c r="A655" s="2">
        <v>42156</v>
      </c>
      <c r="B655">
        <v>2015</v>
      </c>
      <c r="C655">
        <v>6</v>
      </c>
      <c r="D655" s="1" t="s">
        <v>81</v>
      </c>
      <c r="E655">
        <v>28.4</v>
      </c>
      <c r="F655">
        <v>34.159999999999997</v>
      </c>
      <c r="G655">
        <v>83.1</v>
      </c>
    </row>
    <row r="656" spans="1:7" x14ac:dyDescent="0.25">
      <c r="A656" s="2">
        <v>42186</v>
      </c>
      <c r="B656">
        <v>2015</v>
      </c>
      <c r="C656">
        <v>7</v>
      </c>
      <c r="D656" s="1" t="s">
        <v>81</v>
      </c>
      <c r="E656">
        <v>29.65</v>
      </c>
      <c r="F656">
        <v>36.39</v>
      </c>
      <c r="G656">
        <v>81.5</v>
      </c>
    </row>
    <row r="657" spans="1:7" x14ac:dyDescent="0.25">
      <c r="A657" s="2">
        <v>42217</v>
      </c>
      <c r="B657">
        <v>2015</v>
      </c>
      <c r="C657">
        <v>8</v>
      </c>
      <c r="D657" s="1" t="s">
        <v>81</v>
      </c>
      <c r="E657">
        <v>31.82</v>
      </c>
      <c r="F657">
        <v>37.99</v>
      </c>
      <c r="G657">
        <v>83.7</v>
      </c>
    </row>
    <row r="658" spans="1:7" x14ac:dyDescent="0.25">
      <c r="A658" s="2">
        <v>42248</v>
      </c>
      <c r="B658">
        <v>2015</v>
      </c>
      <c r="C658">
        <v>9</v>
      </c>
      <c r="D658" s="1" t="s">
        <v>81</v>
      </c>
      <c r="E658">
        <v>29.62</v>
      </c>
      <c r="F658">
        <v>36.89</v>
      </c>
      <c r="G658">
        <v>80.3</v>
      </c>
    </row>
    <row r="659" spans="1:7" x14ac:dyDescent="0.25">
      <c r="A659" s="2">
        <v>42278</v>
      </c>
      <c r="B659">
        <v>2015</v>
      </c>
      <c r="C659">
        <v>10</v>
      </c>
      <c r="D659" s="1" t="s">
        <v>81</v>
      </c>
      <c r="E659">
        <v>29.25</v>
      </c>
      <c r="F659">
        <v>34.24</v>
      </c>
      <c r="G659">
        <v>85.5</v>
      </c>
    </row>
    <row r="660" spans="1:7" x14ac:dyDescent="0.25">
      <c r="A660" s="2">
        <v>42309</v>
      </c>
      <c r="B660">
        <v>2015</v>
      </c>
      <c r="C660">
        <v>11</v>
      </c>
      <c r="D660" s="1" t="s">
        <v>81</v>
      </c>
      <c r="E660">
        <v>25.73</v>
      </c>
      <c r="F660">
        <v>31.16</v>
      </c>
      <c r="G660">
        <v>82.6</v>
      </c>
    </row>
    <row r="661" spans="1:7" x14ac:dyDescent="0.25">
      <c r="A661" s="2">
        <v>42339</v>
      </c>
      <c r="B661">
        <v>2015</v>
      </c>
      <c r="C661">
        <v>12</v>
      </c>
      <c r="D661" s="1" t="s">
        <v>81</v>
      </c>
      <c r="E661">
        <v>24.3</v>
      </c>
      <c r="F661">
        <v>30.1</v>
      </c>
      <c r="G661">
        <v>80.7</v>
      </c>
    </row>
    <row r="662" spans="1:7" x14ac:dyDescent="0.25">
      <c r="A662" s="2">
        <v>42370</v>
      </c>
      <c r="B662">
        <v>2016</v>
      </c>
      <c r="C662">
        <v>1</v>
      </c>
      <c r="D662" s="1" t="s">
        <v>81</v>
      </c>
      <c r="E662">
        <v>23.67</v>
      </c>
      <c r="F662">
        <v>29.16</v>
      </c>
      <c r="G662">
        <v>81.2</v>
      </c>
    </row>
    <row r="663" spans="1:7" x14ac:dyDescent="0.25">
      <c r="A663" s="2">
        <v>42401</v>
      </c>
      <c r="B663">
        <v>2016</v>
      </c>
      <c r="C663">
        <v>2</v>
      </c>
      <c r="D663" s="1" t="s">
        <v>81</v>
      </c>
      <c r="E663">
        <v>23.11</v>
      </c>
      <c r="F663">
        <v>28.18</v>
      </c>
      <c r="G663">
        <v>82</v>
      </c>
    </row>
    <row r="664" spans="1:7" x14ac:dyDescent="0.25">
      <c r="A664" s="2">
        <v>42430</v>
      </c>
      <c r="B664">
        <v>2016</v>
      </c>
      <c r="C664">
        <v>3</v>
      </c>
      <c r="D664" s="1" t="s">
        <v>81</v>
      </c>
      <c r="E664">
        <v>23.76</v>
      </c>
      <c r="F664">
        <v>30.05</v>
      </c>
      <c r="G664">
        <v>79.099999999999994</v>
      </c>
    </row>
    <row r="665" spans="1:7" x14ac:dyDescent="0.25">
      <c r="A665" s="2">
        <v>42461</v>
      </c>
      <c r="B665">
        <v>2016</v>
      </c>
      <c r="C665">
        <v>4</v>
      </c>
      <c r="D665" s="1" t="s">
        <v>81</v>
      </c>
      <c r="E665">
        <v>26.39</v>
      </c>
      <c r="F665">
        <v>31.61</v>
      </c>
      <c r="G665">
        <v>83.5</v>
      </c>
    </row>
    <row r="666" spans="1:7" x14ac:dyDescent="0.25">
      <c r="A666" s="2">
        <v>42491</v>
      </c>
      <c r="B666">
        <v>2016</v>
      </c>
      <c r="C666">
        <v>5</v>
      </c>
      <c r="D666" s="1" t="s">
        <v>81</v>
      </c>
      <c r="E666">
        <v>28.72</v>
      </c>
      <c r="F666">
        <v>36.39</v>
      </c>
      <c r="G666">
        <v>78.900000000000006</v>
      </c>
    </row>
    <row r="667" spans="1:7" x14ac:dyDescent="0.25">
      <c r="A667" s="2">
        <v>42522</v>
      </c>
      <c r="B667">
        <v>2016</v>
      </c>
      <c r="C667">
        <v>6</v>
      </c>
      <c r="D667" s="1" t="s">
        <v>81</v>
      </c>
      <c r="E667">
        <v>30.51</v>
      </c>
      <c r="F667">
        <v>36.6</v>
      </c>
      <c r="G667">
        <v>83.4</v>
      </c>
    </row>
    <row r="668" spans="1:7" x14ac:dyDescent="0.25">
      <c r="A668" s="2">
        <v>42552</v>
      </c>
      <c r="B668">
        <v>2016</v>
      </c>
      <c r="C668">
        <v>7</v>
      </c>
      <c r="D668" s="1" t="s">
        <v>81</v>
      </c>
      <c r="E668">
        <v>30.95</v>
      </c>
      <c r="F668">
        <v>37.729999999999997</v>
      </c>
      <c r="G668">
        <v>82</v>
      </c>
    </row>
    <row r="669" spans="1:7" x14ac:dyDescent="0.25">
      <c r="A669" s="2">
        <v>42583</v>
      </c>
      <c r="B669">
        <v>2016</v>
      </c>
      <c r="C669">
        <v>8</v>
      </c>
      <c r="D669" s="1" t="s">
        <v>81</v>
      </c>
      <c r="E669">
        <v>32.520000000000003</v>
      </c>
      <c r="F669">
        <v>37.950000000000003</v>
      </c>
      <c r="G669">
        <v>85.7</v>
      </c>
    </row>
    <row r="670" spans="1:7" x14ac:dyDescent="0.25">
      <c r="A670" s="2">
        <v>42614</v>
      </c>
      <c r="B670">
        <v>2016</v>
      </c>
      <c r="C670">
        <v>9</v>
      </c>
      <c r="D670" s="1" t="s">
        <v>81</v>
      </c>
      <c r="E670">
        <v>34.119999999999997</v>
      </c>
      <c r="F670">
        <v>43.37</v>
      </c>
      <c r="G670">
        <v>78.7</v>
      </c>
    </row>
    <row r="671" spans="1:7" x14ac:dyDescent="0.25">
      <c r="A671" s="2">
        <v>42644</v>
      </c>
      <c r="B671">
        <v>2016</v>
      </c>
      <c r="C671">
        <v>10</v>
      </c>
      <c r="D671" s="1" t="s">
        <v>81</v>
      </c>
      <c r="E671">
        <v>33.159999999999997</v>
      </c>
      <c r="F671">
        <v>41.37</v>
      </c>
      <c r="G671">
        <v>80.2</v>
      </c>
    </row>
    <row r="672" spans="1:7" x14ac:dyDescent="0.25">
      <c r="A672" s="2">
        <v>42675</v>
      </c>
      <c r="B672">
        <v>2016</v>
      </c>
      <c r="C672">
        <v>11</v>
      </c>
      <c r="D672" s="1" t="s">
        <v>81</v>
      </c>
      <c r="E672">
        <v>29.61</v>
      </c>
      <c r="F672">
        <v>35.270000000000003</v>
      </c>
      <c r="G672">
        <v>83.9</v>
      </c>
    </row>
    <row r="673" spans="1:7" x14ac:dyDescent="0.25">
      <c r="A673" s="2">
        <v>42705</v>
      </c>
      <c r="B673">
        <v>2016</v>
      </c>
      <c r="C673">
        <v>12</v>
      </c>
      <c r="D673" s="1" t="s">
        <v>81</v>
      </c>
      <c r="E673">
        <v>25.92</v>
      </c>
      <c r="F673">
        <v>31.24</v>
      </c>
      <c r="G673">
        <v>83</v>
      </c>
    </row>
    <row r="674" spans="1:7" x14ac:dyDescent="0.25">
      <c r="A674" s="2">
        <v>42736</v>
      </c>
      <c r="B674">
        <v>2017</v>
      </c>
      <c r="C674">
        <v>1</v>
      </c>
      <c r="D674" s="1" t="s">
        <v>81</v>
      </c>
      <c r="E674">
        <v>25.15</v>
      </c>
      <c r="F674">
        <v>30.26</v>
      </c>
      <c r="G674">
        <v>83.1</v>
      </c>
    </row>
    <row r="675" spans="1:7" x14ac:dyDescent="0.25">
      <c r="A675" s="2">
        <v>42767</v>
      </c>
      <c r="B675">
        <v>2017</v>
      </c>
      <c r="C675">
        <v>2</v>
      </c>
      <c r="D675" s="1" t="s">
        <v>81</v>
      </c>
      <c r="E675">
        <v>24.93</v>
      </c>
      <c r="F675">
        <v>29.54</v>
      </c>
      <c r="G675">
        <v>84.4</v>
      </c>
    </row>
    <row r="676" spans="1:7" x14ac:dyDescent="0.25">
      <c r="A676" s="2">
        <v>42795</v>
      </c>
      <c r="B676">
        <v>2017</v>
      </c>
      <c r="C676">
        <v>3</v>
      </c>
      <c r="D676" s="1" t="s">
        <v>81</v>
      </c>
      <c r="E676">
        <v>25.51</v>
      </c>
      <c r="F676">
        <v>31.24</v>
      </c>
      <c r="G676">
        <v>81.7</v>
      </c>
    </row>
    <row r="677" spans="1:7" x14ac:dyDescent="0.25">
      <c r="A677" s="2">
        <v>42826</v>
      </c>
      <c r="B677">
        <v>2017</v>
      </c>
      <c r="C677">
        <v>4</v>
      </c>
      <c r="D677" s="1" t="s">
        <v>81</v>
      </c>
      <c r="E677">
        <v>28.08</v>
      </c>
      <c r="F677">
        <v>33.770000000000003</v>
      </c>
      <c r="G677">
        <v>83.2</v>
      </c>
    </row>
    <row r="678" spans="1:7" x14ac:dyDescent="0.25">
      <c r="A678" s="2">
        <v>42856</v>
      </c>
      <c r="B678">
        <v>2017</v>
      </c>
      <c r="C678">
        <v>5</v>
      </c>
      <c r="D678" s="1" t="s">
        <v>81</v>
      </c>
      <c r="E678">
        <v>30.15</v>
      </c>
      <c r="F678">
        <v>37.380000000000003</v>
      </c>
      <c r="G678">
        <v>80.7</v>
      </c>
    </row>
    <row r="679" spans="1:7" x14ac:dyDescent="0.25">
      <c r="A679" s="2">
        <v>42887</v>
      </c>
      <c r="B679">
        <v>2017</v>
      </c>
      <c r="C679">
        <v>6</v>
      </c>
      <c r="D679" s="1" t="s">
        <v>81</v>
      </c>
      <c r="E679">
        <v>30.86</v>
      </c>
      <c r="F679">
        <v>38.17</v>
      </c>
      <c r="G679">
        <v>80.900000000000006</v>
      </c>
    </row>
    <row r="680" spans="1:7" x14ac:dyDescent="0.25">
      <c r="A680" s="2">
        <v>42917</v>
      </c>
      <c r="B680">
        <v>2017</v>
      </c>
      <c r="C680">
        <v>7</v>
      </c>
      <c r="D680" s="1" t="s">
        <v>81</v>
      </c>
      <c r="E680">
        <v>32.99</v>
      </c>
      <c r="F680">
        <v>39.479999999999997</v>
      </c>
      <c r="G680">
        <v>83.6</v>
      </c>
    </row>
    <row r="681" spans="1:7" x14ac:dyDescent="0.25">
      <c r="A681" s="2">
        <v>42948</v>
      </c>
      <c r="B681">
        <v>2017</v>
      </c>
      <c r="C681">
        <v>8</v>
      </c>
      <c r="D681" s="1" t="s">
        <v>81</v>
      </c>
      <c r="E681">
        <v>35.380000000000003</v>
      </c>
      <c r="F681">
        <v>43.31</v>
      </c>
      <c r="G681">
        <v>81.7</v>
      </c>
    </row>
    <row r="682" spans="1:7" x14ac:dyDescent="0.25">
      <c r="A682" s="2">
        <v>42979</v>
      </c>
      <c r="B682">
        <v>2017</v>
      </c>
      <c r="C682">
        <v>9</v>
      </c>
      <c r="D682" s="1" t="s">
        <v>81</v>
      </c>
      <c r="E682">
        <v>35.380000000000003</v>
      </c>
      <c r="F682">
        <v>41.76</v>
      </c>
      <c r="G682">
        <v>84.7</v>
      </c>
    </row>
    <row r="683" spans="1:7" x14ac:dyDescent="0.25">
      <c r="A683" s="2">
        <v>43009</v>
      </c>
      <c r="B683">
        <v>2017</v>
      </c>
      <c r="C683">
        <v>10</v>
      </c>
      <c r="D683" s="1" t="s">
        <v>81</v>
      </c>
      <c r="E683">
        <v>32.619999999999997</v>
      </c>
      <c r="F683">
        <v>40.6</v>
      </c>
      <c r="G683">
        <v>80.400000000000006</v>
      </c>
    </row>
    <row r="684" spans="1:7" x14ac:dyDescent="0.25">
      <c r="A684" s="2">
        <v>43040</v>
      </c>
      <c r="B684">
        <v>2017</v>
      </c>
      <c r="C684">
        <v>11</v>
      </c>
      <c r="D684" s="1" t="s">
        <v>81</v>
      </c>
      <c r="E684">
        <v>31.71</v>
      </c>
      <c r="F684">
        <v>38.729999999999997</v>
      </c>
      <c r="G684">
        <v>81.900000000000006</v>
      </c>
    </row>
    <row r="685" spans="1:7" x14ac:dyDescent="0.25">
      <c r="A685" s="2">
        <v>43070</v>
      </c>
      <c r="B685">
        <v>2017</v>
      </c>
      <c r="C685">
        <v>12</v>
      </c>
      <c r="D685" s="1" t="s">
        <v>81</v>
      </c>
      <c r="E685">
        <v>28.2</v>
      </c>
      <c r="F685">
        <v>34.68</v>
      </c>
      <c r="G685">
        <v>81.3</v>
      </c>
    </row>
    <row r="686" spans="1:7" x14ac:dyDescent="0.25">
      <c r="A686" s="2">
        <v>43101</v>
      </c>
      <c r="B686">
        <v>2018</v>
      </c>
      <c r="C686">
        <v>1</v>
      </c>
      <c r="D686" s="1" t="s">
        <v>81</v>
      </c>
      <c r="E686">
        <v>25.84</v>
      </c>
      <c r="F686">
        <v>32.68</v>
      </c>
      <c r="G686">
        <v>79.099999999999994</v>
      </c>
    </row>
    <row r="687" spans="1:7" x14ac:dyDescent="0.25">
      <c r="A687" s="2">
        <v>43132</v>
      </c>
      <c r="B687">
        <v>2018</v>
      </c>
      <c r="C687">
        <v>2</v>
      </c>
      <c r="D687" s="1" t="s">
        <v>81</v>
      </c>
      <c r="E687">
        <v>26.53</v>
      </c>
      <c r="F687">
        <v>32.979999999999997</v>
      </c>
      <c r="G687">
        <v>80.400000000000006</v>
      </c>
    </row>
    <row r="688" spans="1:7" x14ac:dyDescent="0.25">
      <c r="A688" s="2">
        <v>43160</v>
      </c>
      <c r="B688">
        <v>2018</v>
      </c>
      <c r="C688">
        <v>3</v>
      </c>
      <c r="D688" s="1" t="s">
        <v>81</v>
      </c>
      <c r="E688">
        <v>29.33</v>
      </c>
      <c r="F688">
        <v>36.74</v>
      </c>
      <c r="G688">
        <v>79.8</v>
      </c>
    </row>
    <row r="689" spans="1:7" x14ac:dyDescent="0.25">
      <c r="A689" s="2">
        <v>43191</v>
      </c>
      <c r="B689">
        <v>2018</v>
      </c>
      <c r="C689">
        <v>4</v>
      </c>
      <c r="D689" s="1" t="s">
        <v>81</v>
      </c>
      <c r="E689">
        <v>27.5</v>
      </c>
      <c r="F689">
        <v>33.130000000000003</v>
      </c>
      <c r="G689">
        <v>83</v>
      </c>
    </row>
    <row r="690" spans="1:7" x14ac:dyDescent="0.25">
      <c r="A690" s="2">
        <v>43221</v>
      </c>
      <c r="B690">
        <v>2018</v>
      </c>
      <c r="C690">
        <v>5</v>
      </c>
      <c r="D690" s="1" t="s">
        <v>81</v>
      </c>
      <c r="E690">
        <v>32.46</v>
      </c>
      <c r="F690">
        <v>39.520000000000003</v>
      </c>
      <c r="G690">
        <v>82.1</v>
      </c>
    </row>
    <row r="691" spans="1:7" x14ac:dyDescent="0.25">
      <c r="A691" s="2">
        <v>43252</v>
      </c>
      <c r="B691">
        <v>2018</v>
      </c>
      <c r="C691">
        <v>6</v>
      </c>
      <c r="D691" s="1" t="s">
        <v>81</v>
      </c>
      <c r="E691">
        <v>34.04</v>
      </c>
      <c r="F691">
        <v>43.47</v>
      </c>
      <c r="G691">
        <v>78.3</v>
      </c>
    </row>
    <row r="692" spans="1:7" x14ac:dyDescent="0.25">
      <c r="A692" s="2">
        <v>43282</v>
      </c>
      <c r="B692">
        <v>2018</v>
      </c>
      <c r="C692">
        <v>7</v>
      </c>
      <c r="D692" s="1" t="s">
        <v>81</v>
      </c>
      <c r="E692">
        <v>34.6</v>
      </c>
      <c r="F692">
        <v>43.33</v>
      </c>
      <c r="G692">
        <v>79.900000000000006</v>
      </c>
    </row>
    <row r="693" spans="1:7" x14ac:dyDescent="0.25">
      <c r="A693" s="2">
        <v>43313</v>
      </c>
      <c r="B693">
        <v>2018</v>
      </c>
      <c r="C693">
        <v>8</v>
      </c>
      <c r="D693" s="1" t="s">
        <v>81</v>
      </c>
      <c r="E693">
        <v>34.090000000000003</v>
      </c>
      <c r="F693">
        <v>41.45</v>
      </c>
      <c r="G693">
        <v>82.2</v>
      </c>
    </row>
    <row r="694" spans="1:7" x14ac:dyDescent="0.25">
      <c r="A694" s="2">
        <v>43344</v>
      </c>
      <c r="B694">
        <v>2018</v>
      </c>
      <c r="C694">
        <v>9</v>
      </c>
      <c r="D694" s="1" t="s">
        <v>81</v>
      </c>
      <c r="E694">
        <v>33.28</v>
      </c>
      <c r="F694">
        <v>41.93</v>
      </c>
      <c r="G694">
        <v>79.400000000000006</v>
      </c>
    </row>
    <row r="695" spans="1:7" x14ac:dyDescent="0.25">
      <c r="A695" s="2">
        <v>43374</v>
      </c>
      <c r="B695">
        <v>2018</v>
      </c>
      <c r="C695">
        <v>10</v>
      </c>
      <c r="D695" s="1" t="s">
        <v>81</v>
      </c>
      <c r="E695">
        <v>33.450000000000003</v>
      </c>
      <c r="F695">
        <v>41.64</v>
      </c>
      <c r="G695">
        <v>80.3</v>
      </c>
    </row>
    <row r="696" spans="1:7" x14ac:dyDescent="0.25">
      <c r="A696" s="2">
        <v>43405</v>
      </c>
      <c r="B696">
        <v>2018</v>
      </c>
      <c r="C696">
        <v>11</v>
      </c>
      <c r="D696" s="1" t="s">
        <v>81</v>
      </c>
      <c r="E696">
        <v>32.130000000000003</v>
      </c>
      <c r="F696">
        <v>38.89</v>
      </c>
      <c r="G696">
        <v>82.6</v>
      </c>
    </row>
    <row r="697" spans="1:7" x14ac:dyDescent="0.25">
      <c r="A697" s="2">
        <v>43435</v>
      </c>
      <c r="B697">
        <v>2018</v>
      </c>
      <c r="C697">
        <v>12</v>
      </c>
      <c r="D697" s="1" t="s">
        <v>81</v>
      </c>
      <c r="E697">
        <v>30.29</v>
      </c>
      <c r="F697">
        <v>36.270000000000003</v>
      </c>
      <c r="G697">
        <v>83.5</v>
      </c>
    </row>
    <row r="698" spans="1:7" x14ac:dyDescent="0.25">
      <c r="A698" s="2">
        <v>43466</v>
      </c>
      <c r="B698">
        <v>2019</v>
      </c>
      <c r="C698">
        <v>1</v>
      </c>
      <c r="D698" s="1" t="s">
        <v>81</v>
      </c>
      <c r="E698">
        <v>28.81</v>
      </c>
      <c r="F698">
        <v>35.14</v>
      </c>
      <c r="G698">
        <v>82</v>
      </c>
    </row>
    <row r="699" spans="1:7" x14ac:dyDescent="0.25">
      <c r="A699" s="2">
        <v>43497</v>
      </c>
      <c r="B699">
        <v>2019</v>
      </c>
      <c r="C699">
        <v>2</v>
      </c>
      <c r="D699" s="1" t="s">
        <v>81</v>
      </c>
      <c r="E699">
        <v>25.95</v>
      </c>
      <c r="F699">
        <v>31.25</v>
      </c>
      <c r="G699">
        <v>83</v>
      </c>
    </row>
    <row r="700" spans="1:7" x14ac:dyDescent="0.25">
      <c r="A700" s="2">
        <v>43525</v>
      </c>
      <c r="B700">
        <v>2019</v>
      </c>
      <c r="C700">
        <v>3</v>
      </c>
      <c r="D700" s="1" t="s">
        <v>81</v>
      </c>
      <c r="E700">
        <v>24.9</v>
      </c>
      <c r="F700">
        <v>30.67</v>
      </c>
      <c r="G700">
        <v>81.2</v>
      </c>
    </row>
    <row r="701" spans="1:7" x14ac:dyDescent="0.25">
      <c r="A701" s="2">
        <v>43556</v>
      </c>
      <c r="B701">
        <v>2019</v>
      </c>
      <c r="C701">
        <v>4</v>
      </c>
      <c r="D701" s="1" t="s">
        <v>81</v>
      </c>
      <c r="E701">
        <v>24.5</v>
      </c>
      <c r="F701">
        <v>30.48</v>
      </c>
      <c r="G701">
        <v>80.400000000000006</v>
      </c>
    </row>
    <row r="702" spans="1:7" x14ac:dyDescent="0.25">
      <c r="A702" s="2">
        <v>43586</v>
      </c>
      <c r="B702">
        <v>2019</v>
      </c>
      <c r="C702">
        <v>5</v>
      </c>
      <c r="D702" s="1" t="s">
        <v>81</v>
      </c>
      <c r="E702">
        <v>25.32</v>
      </c>
      <c r="F702">
        <v>30.95</v>
      </c>
      <c r="G702">
        <v>81.8</v>
      </c>
    </row>
    <row r="703" spans="1:7" x14ac:dyDescent="0.25">
      <c r="A703" s="2">
        <v>43617</v>
      </c>
      <c r="B703">
        <v>2019</v>
      </c>
      <c r="C703">
        <v>6</v>
      </c>
      <c r="D703" s="1" t="s">
        <v>81</v>
      </c>
      <c r="E703">
        <v>24.5</v>
      </c>
      <c r="F703">
        <v>30.37</v>
      </c>
      <c r="G703">
        <v>80.7</v>
      </c>
    </row>
    <row r="704" spans="1:7" x14ac:dyDescent="0.25">
      <c r="A704" s="2">
        <v>43647</v>
      </c>
      <c r="B704">
        <v>2019</v>
      </c>
      <c r="C704">
        <v>7</v>
      </c>
      <c r="D704" s="1" t="s">
        <v>81</v>
      </c>
      <c r="E704">
        <v>23.43</v>
      </c>
      <c r="F704">
        <v>27.9</v>
      </c>
      <c r="G704">
        <v>84</v>
      </c>
    </row>
    <row r="705" spans="1:7" x14ac:dyDescent="0.25">
      <c r="A705" s="2">
        <v>43678</v>
      </c>
      <c r="B705">
        <v>2019</v>
      </c>
      <c r="C705">
        <v>8</v>
      </c>
      <c r="D705" s="1" t="s">
        <v>81</v>
      </c>
      <c r="E705">
        <v>22.77</v>
      </c>
      <c r="F705">
        <v>28.36</v>
      </c>
      <c r="G705">
        <v>80.3</v>
      </c>
    </row>
    <row r="706" spans="1:7" x14ac:dyDescent="0.25">
      <c r="A706" s="2">
        <v>43709</v>
      </c>
      <c r="B706">
        <v>2019</v>
      </c>
      <c r="C706">
        <v>9</v>
      </c>
      <c r="D706" s="1" t="s">
        <v>81</v>
      </c>
      <c r="E706">
        <v>20.84</v>
      </c>
      <c r="F706">
        <v>25.76</v>
      </c>
      <c r="G706">
        <v>80.900000000000006</v>
      </c>
    </row>
    <row r="707" spans="1:7" x14ac:dyDescent="0.25">
      <c r="A707" s="2">
        <v>43739</v>
      </c>
      <c r="B707">
        <v>2019</v>
      </c>
      <c r="C707">
        <v>10</v>
      </c>
      <c r="D707" s="1" t="s">
        <v>81</v>
      </c>
      <c r="E707">
        <v>16.75</v>
      </c>
      <c r="F707">
        <v>19.93</v>
      </c>
      <c r="G707">
        <v>84</v>
      </c>
    </row>
    <row r="708" spans="1:7" x14ac:dyDescent="0.25">
      <c r="A708" s="2">
        <v>43770</v>
      </c>
      <c r="B708">
        <v>2019</v>
      </c>
      <c r="C708">
        <v>11</v>
      </c>
      <c r="D708" s="1" t="s">
        <v>81</v>
      </c>
      <c r="E708">
        <v>14.27</v>
      </c>
      <c r="F708">
        <v>17.579999999999998</v>
      </c>
      <c r="G708">
        <v>81.2</v>
      </c>
    </row>
    <row r="709" spans="1:7" x14ac:dyDescent="0.25">
      <c r="A709" s="2">
        <v>43800</v>
      </c>
      <c r="B709">
        <v>2019</v>
      </c>
      <c r="C709">
        <v>12</v>
      </c>
      <c r="D709" s="1" t="s">
        <v>81</v>
      </c>
      <c r="E709">
        <v>11.81</v>
      </c>
      <c r="F709">
        <v>14.01</v>
      </c>
      <c r="G709">
        <v>84.3</v>
      </c>
    </row>
    <row r="710" spans="1:7" x14ac:dyDescent="0.25">
      <c r="A710" s="2">
        <v>43831</v>
      </c>
      <c r="B710">
        <v>2020</v>
      </c>
      <c r="C710">
        <v>1</v>
      </c>
      <c r="D710" s="1" t="s">
        <v>81</v>
      </c>
      <c r="E710">
        <v>9.58</v>
      </c>
      <c r="F710">
        <v>12.03</v>
      </c>
      <c r="G710">
        <v>79.599999999999994</v>
      </c>
    </row>
    <row r="711" spans="1:7" x14ac:dyDescent="0.25">
      <c r="A711" s="2">
        <v>43862</v>
      </c>
      <c r="B711">
        <v>2020</v>
      </c>
      <c r="C711">
        <v>2</v>
      </c>
      <c r="D711" s="1" t="s">
        <v>81</v>
      </c>
      <c r="E711">
        <v>9.9</v>
      </c>
      <c r="F711">
        <v>12.22</v>
      </c>
      <c r="G711">
        <v>81</v>
      </c>
    </row>
    <row r="712" spans="1:7" x14ac:dyDescent="0.25">
      <c r="A712" s="2">
        <v>43891</v>
      </c>
      <c r="B712">
        <v>2020</v>
      </c>
      <c r="C712">
        <v>3</v>
      </c>
      <c r="D712" s="1" t="s">
        <v>81</v>
      </c>
      <c r="E712">
        <v>1.65</v>
      </c>
      <c r="F712">
        <v>2.99</v>
      </c>
      <c r="G712">
        <v>55</v>
      </c>
    </row>
    <row r="713" spans="1:7" x14ac:dyDescent="0.25">
      <c r="A713" s="2">
        <v>43922</v>
      </c>
      <c r="B713">
        <v>2020</v>
      </c>
      <c r="C713">
        <v>4</v>
      </c>
      <c r="D713" s="1" t="s">
        <v>81</v>
      </c>
      <c r="E713">
        <v>1.61</v>
      </c>
      <c r="F713">
        <v>2.92</v>
      </c>
      <c r="G713">
        <v>55</v>
      </c>
    </row>
    <row r="714" spans="1:7" x14ac:dyDescent="0.25">
      <c r="A714" s="2">
        <v>43952</v>
      </c>
      <c r="B714">
        <v>2020</v>
      </c>
      <c r="C714">
        <v>5</v>
      </c>
      <c r="D714" s="1" t="s">
        <v>81</v>
      </c>
      <c r="E714">
        <v>2.04</v>
      </c>
      <c r="F714">
        <v>3.71</v>
      </c>
      <c r="G714">
        <v>55</v>
      </c>
    </row>
    <row r="715" spans="1:7" x14ac:dyDescent="0.25">
      <c r="A715" s="2">
        <v>43983</v>
      </c>
      <c r="B715">
        <v>2020</v>
      </c>
      <c r="C715">
        <v>6</v>
      </c>
      <c r="D715" s="1" t="s">
        <v>81</v>
      </c>
      <c r="E715">
        <v>2.2599999999999998</v>
      </c>
      <c r="F715">
        <v>4.12</v>
      </c>
      <c r="G715">
        <v>55</v>
      </c>
    </row>
    <row r="716" spans="1:7" x14ac:dyDescent="0.25">
      <c r="A716" s="2">
        <v>44013</v>
      </c>
      <c r="B716">
        <v>2020</v>
      </c>
      <c r="C716">
        <v>7</v>
      </c>
      <c r="D716" s="1" t="s">
        <v>81</v>
      </c>
      <c r="E716">
        <v>15.97</v>
      </c>
      <c r="F716">
        <v>29.03</v>
      </c>
      <c r="G716">
        <v>55</v>
      </c>
    </row>
    <row r="717" spans="1:7" x14ac:dyDescent="0.25">
      <c r="A717" s="2">
        <v>44044</v>
      </c>
      <c r="B717">
        <v>2020</v>
      </c>
      <c r="C717">
        <v>8</v>
      </c>
      <c r="D717" s="1" t="s">
        <v>81</v>
      </c>
      <c r="E717">
        <v>5.76</v>
      </c>
      <c r="F717">
        <v>10.47</v>
      </c>
      <c r="G717">
        <v>55</v>
      </c>
    </row>
    <row r="718" spans="1:7" x14ac:dyDescent="0.25">
      <c r="A718" s="2">
        <v>44075</v>
      </c>
      <c r="B718">
        <v>2020</v>
      </c>
      <c r="C718">
        <v>9</v>
      </c>
      <c r="D718" s="1" t="s">
        <v>81</v>
      </c>
      <c r="E718">
        <v>5.69</v>
      </c>
      <c r="F718">
        <v>10.34</v>
      </c>
      <c r="G718">
        <v>55</v>
      </c>
    </row>
    <row r="719" spans="1:7" x14ac:dyDescent="0.25">
      <c r="A719" s="2">
        <v>44105</v>
      </c>
      <c r="B719">
        <v>2020</v>
      </c>
      <c r="C719">
        <v>10</v>
      </c>
      <c r="D719" s="1" t="s">
        <v>81</v>
      </c>
      <c r="E719">
        <v>5.85</v>
      </c>
      <c r="F719">
        <v>10.63</v>
      </c>
      <c r="G719">
        <v>55</v>
      </c>
    </row>
    <row r="720" spans="1:7" x14ac:dyDescent="0.25">
      <c r="A720" s="2">
        <v>44136</v>
      </c>
      <c r="B720">
        <v>2020</v>
      </c>
      <c r="C720">
        <v>11</v>
      </c>
      <c r="D720" s="1" t="s">
        <v>81</v>
      </c>
      <c r="E720">
        <v>5.5</v>
      </c>
      <c r="F720">
        <v>10</v>
      </c>
      <c r="G720">
        <v>55</v>
      </c>
    </row>
    <row r="721" spans="1:7" x14ac:dyDescent="0.25">
      <c r="A721" s="2">
        <v>44166</v>
      </c>
      <c r="B721">
        <v>2020</v>
      </c>
      <c r="C721">
        <v>12</v>
      </c>
      <c r="D721" s="1" t="s">
        <v>81</v>
      </c>
      <c r="E721">
        <v>5.15</v>
      </c>
      <c r="F721">
        <v>9.35</v>
      </c>
      <c r="G721">
        <v>55</v>
      </c>
    </row>
    <row r="722" spans="1:7" x14ac:dyDescent="0.25">
      <c r="A722" s="2">
        <v>44197</v>
      </c>
      <c r="B722">
        <v>2021</v>
      </c>
      <c r="C722">
        <v>1</v>
      </c>
      <c r="D722" s="1" t="s">
        <v>81</v>
      </c>
      <c r="E722">
        <v>14.74</v>
      </c>
      <c r="F722">
        <v>17.47</v>
      </c>
      <c r="G722">
        <v>84.4</v>
      </c>
    </row>
    <row r="723" spans="1:7" x14ac:dyDescent="0.25">
      <c r="A723" s="2">
        <v>44228</v>
      </c>
      <c r="B723">
        <v>2021</v>
      </c>
      <c r="C723">
        <v>2</v>
      </c>
      <c r="D723" s="1" t="s">
        <v>81</v>
      </c>
      <c r="E723">
        <v>6.7</v>
      </c>
      <c r="F723">
        <v>8.32</v>
      </c>
      <c r="G723">
        <v>80.5</v>
      </c>
    </row>
    <row r="724" spans="1:7" x14ac:dyDescent="0.25">
      <c r="A724" s="2">
        <v>44256</v>
      </c>
      <c r="B724">
        <v>2021</v>
      </c>
      <c r="C724">
        <v>3</v>
      </c>
      <c r="D724" s="1" t="s">
        <v>81</v>
      </c>
      <c r="E724">
        <v>6.28</v>
      </c>
      <c r="F724">
        <v>8.01</v>
      </c>
      <c r="G724">
        <v>78.5</v>
      </c>
    </row>
    <row r="725" spans="1:7" x14ac:dyDescent="0.25">
      <c r="A725" s="2">
        <v>44287</v>
      </c>
      <c r="B725">
        <v>2021</v>
      </c>
      <c r="C725">
        <v>4</v>
      </c>
      <c r="D725" s="1" t="s">
        <v>81</v>
      </c>
      <c r="E725">
        <v>7.76</v>
      </c>
      <c r="F725">
        <v>9.56</v>
      </c>
      <c r="G725">
        <v>81.2</v>
      </c>
    </row>
    <row r="726" spans="1:7" x14ac:dyDescent="0.25">
      <c r="A726" s="2">
        <v>44317</v>
      </c>
      <c r="B726">
        <v>2021</v>
      </c>
      <c r="C726">
        <v>5</v>
      </c>
      <c r="D726" s="1" t="s">
        <v>81</v>
      </c>
      <c r="E726">
        <v>8.07</v>
      </c>
      <c r="F726">
        <v>9.4600000000000009</v>
      </c>
      <c r="G726">
        <v>85.3</v>
      </c>
    </row>
    <row r="727" spans="1:7" x14ac:dyDescent="0.25">
      <c r="A727" s="2">
        <v>44348</v>
      </c>
      <c r="B727">
        <v>2021</v>
      </c>
      <c r="C727">
        <v>6</v>
      </c>
      <c r="D727" s="1" t="s">
        <v>81</v>
      </c>
      <c r="E727">
        <v>9.44</v>
      </c>
      <c r="F727">
        <v>11.51</v>
      </c>
      <c r="G727">
        <v>82</v>
      </c>
    </row>
    <row r="728" spans="1:7" x14ac:dyDescent="0.25">
      <c r="A728" s="2">
        <v>44378</v>
      </c>
      <c r="B728">
        <v>2021</v>
      </c>
      <c r="C728">
        <v>7</v>
      </c>
      <c r="D728" s="1" t="s">
        <v>81</v>
      </c>
      <c r="E728">
        <v>21.56</v>
      </c>
      <c r="F728">
        <v>26.38</v>
      </c>
      <c r="G728">
        <v>81.7</v>
      </c>
    </row>
    <row r="729" spans="1:7" x14ac:dyDescent="0.25">
      <c r="A729" s="2">
        <v>44409</v>
      </c>
      <c r="B729">
        <v>2021</v>
      </c>
      <c r="C729">
        <v>8</v>
      </c>
      <c r="D729" s="1" t="s">
        <v>81</v>
      </c>
      <c r="E729">
        <v>14.83</v>
      </c>
      <c r="F729">
        <v>17.41</v>
      </c>
      <c r="G729">
        <v>85.2</v>
      </c>
    </row>
    <row r="730" spans="1:7" x14ac:dyDescent="0.25">
      <c r="A730" s="2">
        <v>44440</v>
      </c>
      <c r="B730">
        <v>2021</v>
      </c>
      <c r="C730">
        <v>9</v>
      </c>
      <c r="D730" s="1" t="s">
        <v>81</v>
      </c>
      <c r="E730">
        <v>15</v>
      </c>
      <c r="F730">
        <v>17.97</v>
      </c>
      <c r="G730">
        <v>83.5</v>
      </c>
    </row>
    <row r="731" spans="1:7" x14ac:dyDescent="0.25">
      <c r="A731" s="2">
        <v>44470</v>
      </c>
      <c r="B731">
        <v>2021</v>
      </c>
      <c r="C731">
        <v>10</v>
      </c>
      <c r="D731" s="1" t="s">
        <v>81</v>
      </c>
      <c r="E731">
        <v>14.93</v>
      </c>
      <c r="F731">
        <v>18.739999999999998</v>
      </c>
      <c r="G731">
        <v>79.7</v>
      </c>
    </row>
    <row r="732" spans="1:7" x14ac:dyDescent="0.25">
      <c r="A732" s="2">
        <v>44501</v>
      </c>
      <c r="B732">
        <v>2021</v>
      </c>
      <c r="C732">
        <v>11</v>
      </c>
      <c r="D732" s="1" t="s">
        <v>81</v>
      </c>
      <c r="E732">
        <v>14.02</v>
      </c>
      <c r="F732">
        <v>17.22</v>
      </c>
      <c r="G732">
        <v>81.400000000000006</v>
      </c>
    </row>
    <row r="733" spans="1:7" x14ac:dyDescent="0.25">
      <c r="A733" s="2">
        <v>44531</v>
      </c>
      <c r="B733">
        <v>2021</v>
      </c>
      <c r="C733">
        <v>12</v>
      </c>
      <c r="D733" s="1" t="s">
        <v>81</v>
      </c>
      <c r="E733">
        <v>12.01</v>
      </c>
      <c r="F733">
        <v>15.45</v>
      </c>
      <c r="G733">
        <v>77.7</v>
      </c>
    </row>
    <row r="734" spans="1:7" x14ac:dyDescent="0.25">
      <c r="A734" s="2">
        <v>44562</v>
      </c>
      <c r="B734">
        <v>2022</v>
      </c>
      <c r="C734">
        <v>1</v>
      </c>
      <c r="D734" s="1" t="s">
        <v>81</v>
      </c>
      <c r="E734">
        <v>18.57</v>
      </c>
      <c r="F734">
        <v>22.35</v>
      </c>
      <c r="G734">
        <v>83.1</v>
      </c>
    </row>
    <row r="735" spans="1:7" x14ac:dyDescent="0.25">
      <c r="A735" s="2">
        <v>44593</v>
      </c>
      <c r="B735">
        <v>2022</v>
      </c>
      <c r="C735">
        <v>2</v>
      </c>
      <c r="D735" s="1" t="s">
        <v>81</v>
      </c>
      <c r="E735">
        <v>19.12</v>
      </c>
      <c r="F735">
        <v>23.21</v>
      </c>
      <c r="G735">
        <v>82.4</v>
      </c>
    </row>
    <row r="736" spans="1:7" x14ac:dyDescent="0.25">
      <c r="A736" s="2">
        <v>44621</v>
      </c>
      <c r="B736">
        <v>2022</v>
      </c>
      <c r="C736">
        <v>3</v>
      </c>
      <c r="D736" s="1" t="s">
        <v>81</v>
      </c>
      <c r="E736">
        <v>21.06</v>
      </c>
      <c r="F736">
        <v>26.51</v>
      </c>
      <c r="G736">
        <v>79.5</v>
      </c>
    </row>
    <row r="737" spans="1:7" x14ac:dyDescent="0.25">
      <c r="A737" s="2">
        <v>44652</v>
      </c>
      <c r="B737">
        <v>2022</v>
      </c>
      <c r="C737">
        <v>4</v>
      </c>
      <c r="D737" s="1" t="s">
        <v>81</v>
      </c>
      <c r="E737">
        <v>21.49</v>
      </c>
      <c r="F737">
        <v>26.01</v>
      </c>
      <c r="G737">
        <v>82.6</v>
      </c>
    </row>
    <row r="738" spans="1:7" x14ac:dyDescent="0.25">
      <c r="A738" s="2">
        <v>44682</v>
      </c>
      <c r="B738">
        <v>2022</v>
      </c>
      <c r="C738">
        <v>5</v>
      </c>
      <c r="D738" s="1" t="s">
        <v>81</v>
      </c>
      <c r="E738">
        <v>23.15</v>
      </c>
      <c r="F738">
        <v>28.21</v>
      </c>
      <c r="G738">
        <v>82.1</v>
      </c>
    </row>
    <row r="739" spans="1:7" x14ac:dyDescent="0.25">
      <c r="A739" s="2">
        <v>44713</v>
      </c>
      <c r="B739">
        <v>2022</v>
      </c>
      <c r="C739">
        <v>6</v>
      </c>
      <c r="D739" s="1" t="s">
        <v>81</v>
      </c>
      <c r="E739">
        <v>24.68</v>
      </c>
      <c r="F739">
        <v>29.09</v>
      </c>
      <c r="G739">
        <v>84.8</v>
      </c>
    </row>
    <row r="740" spans="1:7" x14ac:dyDescent="0.25">
      <c r="A740" s="2">
        <v>44743</v>
      </c>
      <c r="B740">
        <v>2022</v>
      </c>
      <c r="C740">
        <v>7</v>
      </c>
      <c r="D740" s="1" t="s">
        <v>81</v>
      </c>
      <c r="E740">
        <v>27.12</v>
      </c>
      <c r="F740">
        <v>31.51</v>
      </c>
      <c r="G740">
        <v>86.1</v>
      </c>
    </row>
    <row r="741" spans="1:7" x14ac:dyDescent="0.25">
      <c r="A741" s="2">
        <v>44774</v>
      </c>
      <c r="B741">
        <v>2022</v>
      </c>
      <c r="C741">
        <v>8</v>
      </c>
      <c r="D741" s="1" t="s">
        <v>81</v>
      </c>
      <c r="E741">
        <v>28.63</v>
      </c>
      <c r="F741">
        <v>34.06</v>
      </c>
      <c r="G741">
        <v>84.1</v>
      </c>
    </row>
    <row r="742" spans="1:7" x14ac:dyDescent="0.25">
      <c r="A742" s="2">
        <v>44805</v>
      </c>
      <c r="B742">
        <v>2022</v>
      </c>
      <c r="C742">
        <v>9</v>
      </c>
      <c r="D742" s="1" t="s">
        <v>81</v>
      </c>
      <c r="E742">
        <v>28.58</v>
      </c>
      <c r="F742">
        <v>34.880000000000003</v>
      </c>
      <c r="G742">
        <v>81.900000000000006</v>
      </c>
    </row>
    <row r="743" spans="1:7" x14ac:dyDescent="0.25">
      <c r="A743" s="2">
        <v>44835</v>
      </c>
      <c r="B743">
        <v>2022</v>
      </c>
      <c r="C743">
        <v>10</v>
      </c>
      <c r="D743" s="1" t="s">
        <v>81</v>
      </c>
      <c r="E743">
        <v>27.2</v>
      </c>
      <c r="F743">
        <v>33.08</v>
      </c>
      <c r="G743">
        <v>82.2</v>
      </c>
    </row>
    <row r="744" spans="1:7" x14ac:dyDescent="0.25">
      <c r="A744" s="2">
        <v>44866</v>
      </c>
      <c r="B744">
        <v>2022</v>
      </c>
      <c r="C744">
        <v>11</v>
      </c>
      <c r="D744" s="1" t="s">
        <v>81</v>
      </c>
      <c r="E744">
        <v>26.42</v>
      </c>
      <c r="F744">
        <v>32.840000000000003</v>
      </c>
      <c r="G744">
        <v>80.400000000000006</v>
      </c>
    </row>
    <row r="745" spans="1:7" x14ac:dyDescent="0.25">
      <c r="A745" s="2">
        <v>44896</v>
      </c>
      <c r="B745">
        <v>2022</v>
      </c>
      <c r="C745">
        <v>12</v>
      </c>
      <c r="D745" s="1" t="s">
        <v>81</v>
      </c>
      <c r="E745">
        <v>24.5</v>
      </c>
      <c r="F745">
        <v>30.33</v>
      </c>
      <c r="G745">
        <v>80.8</v>
      </c>
    </row>
    <row r="746" spans="1:7" x14ac:dyDescent="0.25">
      <c r="A746" s="2">
        <v>44927</v>
      </c>
      <c r="B746">
        <v>2023</v>
      </c>
      <c r="C746">
        <v>1</v>
      </c>
      <c r="D746" s="1" t="s">
        <v>81</v>
      </c>
      <c r="E746">
        <v>25.17</v>
      </c>
      <c r="F746">
        <v>30.76</v>
      </c>
      <c r="G746">
        <v>81.8</v>
      </c>
    </row>
    <row r="747" spans="1:7" x14ac:dyDescent="0.25">
      <c r="A747" s="2">
        <v>44958</v>
      </c>
      <c r="B747">
        <v>2023</v>
      </c>
      <c r="C747">
        <v>2</v>
      </c>
      <c r="D747" s="1" t="s">
        <v>81</v>
      </c>
      <c r="E747">
        <v>24.41</v>
      </c>
      <c r="F747">
        <v>29.91</v>
      </c>
      <c r="G747">
        <v>81.599999999999994</v>
      </c>
    </row>
    <row r="748" spans="1:7" x14ac:dyDescent="0.25">
      <c r="A748" s="2">
        <v>44986</v>
      </c>
      <c r="B748">
        <v>2023</v>
      </c>
      <c r="C748">
        <v>3</v>
      </c>
      <c r="D748" s="1" t="s">
        <v>81</v>
      </c>
      <c r="E748">
        <v>24.41</v>
      </c>
      <c r="F748">
        <v>30.76</v>
      </c>
      <c r="G748">
        <v>79.400000000000006</v>
      </c>
    </row>
    <row r="749" spans="1:7" x14ac:dyDescent="0.25">
      <c r="A749" s="2">
        <v>45017</v>
      </c>
      <c r="B749">
        <v>2023</v>
      </c>
      <c r="C749">
        <v>4</v>
      </c>
      <c r="D749" s="1" t="s">
        <v>81</v>
      </c>
      <c r="E749">
        <v>25.78</v>
      </c>
      <c r="F749">
        <v>31.28</v>
      </c>
      <c r="G749">
        <v>82.4</v>
      </c>
    </row>
    <row r="750" spans="1:7" x14ac:dyDescent="0.25">
      <c r="A750" s="2">
        <v>45047</v>
      </c>
      <c r="B750">
        <v>2023</v>
      </c>
      <c r="C750">
        <v>5</v>
      </c>
      <c r="D750" s="1" t="s">
        <v>81</v>
      </c>
      <c r="E750">
        <v>30.06</v>
      </c>
      <c r="F750">
        <v>36.47</v>
      </c>
      <c r="G750">
        <v>82.4</v>
      </c>
    </row>
    <row r="751" spans="1:7" x14ac:dyDescent="0.25">
      <c r="A751" s="2">
        <v>45078</v>
      </c>
      <c r="B751">
        <v>2023</v>
      </c>
      <c r="C751">
        <v>6</v>
      </c>
      <c r="D751" s="1" t="s">
        <v>81</v>
      </c>
      <c r="E751">
        <v>32.590000000000003</v>
      </c>
      <c r="F751">
        <v>39.130000000000003</v>
      </c>
      <c r="G751">
        <v>83.3</v>
      </c>
    </row>
    <row r="752" spans="1:7" x14ac:dyDescent="0.25">
      <c r="A752" s="2">
        <v>45108</v>
      </c>
      <c r="B752">
        <v>2023</v>
      </c>
      <c r="C752">
        <v>7</v>
      </c>
      <c r="D752" s="1" t="s">
        <v>81</v>
      </c>
      <c r="E752">
        <v>35</v>
      </c>
      <c r="F752">
        <v>42.74</v>
      </c>
      <c r="G752">
        <v>81.900000000000006</v>
      </c>
    </row>
    <row r="753" spans="1:7" x14ac:dyDescent="0.25">
      <c r="A753" s="2">
        <v>45139</v>
      </c>
      <c r="B753">
        <v>2023</v>
      </c>
      <c r="C753">
        <v>8</v>
      </c>
      <c r="D753" s="1" t="s">
        <v>81</v>
      </c>
      <c r="E753">
        <v>36.96</v>
      </c>
      <c r="F753">
        <v>45.62</v>
      </c>
      <c r="G753">
        <v>81</v>
      </c>
    </row>
    <row r="754" spans="1:7" x14ac:dyDescent="0.25">
      <c r="A754" s="2">
        <v>45170</v>
      </c>
      <c r="B754">
        <v>2023</v>
      </c>
      <c r="C754">
        <v>9</v>
      </c>
      <c r="D754" s="1" t="s">
        <v>81</v>
      </c>
      <c r="E754">
        <v>33.49</v>
      </c>
      <c r="F754">
        <v>42.09</v>
      </c>
      <c r="G754">
        <v>79.599999999999994</v>
      </c>
    </row>
    <row r="755" spans="1:7" x14ac:dyDescent="0.25">
      <c r="A755" s="2">
        <v>45200</v>
      </c>
      <c r="B755">
        <v>2023</v>
      </c>
      <c r="C755">
        <v>10</v>
      </c>
      <c r="D755" s="1" t="s">
        <v>81</v>
      </c>
      <c r="E755">
        <v>35.450000000000003</v>
      </c>
      <c r="F755">
        <v>42.39</v>
      </c>
      <c r="G755">
        <v>83.6</v>
      </c>
    </row>
    <row r="756" spans="1:7" x14ac:dyDescent="0.25">
      <c r="A756" s="2">
        <v>45231</v>
      </c>
      <c r="B756">
        <v>2023</v>
      </c>
      <c r="C756">
        <v>11</v>
      </c>
      <c r="D756" s="1" t="s">
        <v>81</v>
      </c>
      <c r="E756">
        <v>30.86</v>
      </c>
      <c r="F756">
        <v>36.520000000000003</v>
      </c>
      <c r="G756">
        <v>84.5</v>
      </c>
    </row>
    <row r="757" spans="1:7" x14ac:dyDescent="0.25">
      <c r="A757" s="2">
        <v>45261</v>
      </c>
      <c r="B757">
        <v>2023</v>
      </c>
      <c r="C757">
        <v>12</v>
      </c>
      <c r="D757" s="1" t="s">
        <v>81</v>
      </c>
      <c r="E757">
        <v>29.82</v>
      </c>
      <c r="F757">
        <v>34.71</v>
      </c>
      <c r="G757">
        <v>85.9</v>
      </c>
    </row>
    <row r="758" spans="1:7" x14ac:dyDescent="0.25">
      <c r="A758" s="2">
        <v>45292</v>
      </c>
      <c r="B758">
        <v>2024</v>
      </c>
      <c r="C758">
        <v>1</v>
      </c>
      <c r="D758" s="1" t="s">
        <v>81</v>
      </c>
      <c r="E758">
        <v>26.58</v>
      </c>
      <c r="F758">
        <v>32.630000000000003</v>
      </c>
      <c r="G758">
        <v>81.5</v>
      </c>
    </row>
    <row r="759" spans="1:7" x14ac:dyDescent="0.25">
      <c r="A759" s="2">
        <v>45323</v>
      </c>
      <c r="B759">
        <v>2024</v>
      </c>
      <c r="C759">
        <v>2</v>
      </c>
      <c r="D759" s="1" t="s">
        <v>81</v>
      </c>
      <c r="E759">
        <v>27.03</v>
      </c>
      <c r="F759">
        <v>34.64</v>
      </c>
      <c r="G759">
        <v>78.099999999999994</v>
      </c>
    </row>
    <row r="760" spans="1:7" x14ac:dyDescent="0.25">
      <c r="A760" s="2">
        <v>45352</v>
      </c>
      <c r="B760">
        <v>2024</v>
      </c>
      <c r="C760">
        <v>3</v>
      </c>
      <c r="D760" s="1" t="s">
        <v>81</v>
      </c>
      <c r="E760">
        <v>29.19</v>
      </c>
      <c r="F760">
        <v>35.840000000000003</v>
      </c>
      <c r="G760">
        <v>81.5</v>
      </c>
    </row>
    <row r="761" spans="1:7" x14ac:dyDescent="0.25">
      <c r="A761" s="2">
        <v>45383</v>
      </c>
      <c r="B761">
        <v>2024</v>
      </c>
      <c r="C761">
        <v>4</v>
      </c>
      <c r="D761" s="1" t="s">
        <v>81</v>
      </c>
      <c r="E761">
        <v>30.97</v>
      </c>
      <c r="F761">
        <v>35.72</v>
      </c>
      <c r="G761">
        <v>86.7</v>
      </c>
    </row>
    <row r="762" spans="1:7" x14ac:dyDescent="0.25">
      <c r="A762" s="2">
        <v>45413</v>
      </c>
      <c r="B762">
        <v>2024</v>
      </c>
      <c r="C762">
        <v>5</v>
      </c>
      <c r="D762" s="1" t="s">
        <v>81</v>
      </c>
      <c r="E762">
        <v>32.65</v>
      </c>
      <c r="F762">
        <v>40.229999999999997</v>
      </c>
      <c r="G762">
        <v>81.2</v>
      </c>
    </row>
    <row r="763" spans="1:7" x14ac:dyDescent="0.25">
      <c r="A763" s="2">
        <v>45444</v>
      </c>
      <c r="B763">
        <v>2024</v>
      </c>
      <c r="C763">
        <v>6</v>
      </c>
      <c r="D763" s="1" t="s">
        <v>81</v>
      </c>
      <c r="E763">
        <v>35.869999999999997</v>
      </c>
      <c r="F763">
        <v>42.72</v>
      </c>
      <c r="G763">
        <v>84</v>
      </c>
    </row>
    <row r="764" spans="1:7" x14ac:dyDescent="0.25">
      <c r="A764" s="2">
        <v>45474</v>
      </c>
      <c r="B764">
        <v>2024</v>
      </c>
      <c r="C764">
        <v>7</v>
      </c>
      <c r="D764" s="1" t="s">
        <v>81</v>
      </c>
      <c r="E764">
        <v>37.21</v>
      </c>
      <c r="F764">
        <v>46.09</v>
      </c>
      <c r="G764">
        <v>80.7</v>
      </c>
    </row>
    <row r="765" spans="1:7" x14ac:dyDescent="0.25">
      <c r="A765" s="2">
        <v>45505</v>
      </c>
      <c r="B765">
        <v>2024</v>
      </c>
      <c r="C765">
        <v>8</v>
      </c>
      <c r="D765" s="1" t="s">
        <v>81</v>
      </c>
      <c r="E765">
        <v>40.06</v>
      </c>
      <c r="F765">
        <v>48.41</v>
      </c>
      <c r="G765">
        <v>82.8</v>
      </c>
    </row>
    <row r="766" spans="1:7" x14ac:dyDescent="0.25">
      <c r="A766" s="2">
        <v>45536</v>
      </c>
      <c r="B766">
        <v>2024</v>
      </c>
      <c r="C766">
        <v>9</v>
      </c>
      <c r="D766" s="1" t="s">
        <v>81</v>
      </c>
      <c r="E766">
        <v>36.130000000000003</v>
      </c>
      <c r="F766">
        <v>45.42</v>
      </c>
      <c r="G766">
        <v>79.5</v>
      </c>
    </row>
    <row r="767" spans="1:7" x14ac:dyDescent="0.25">
      <c r="A767" s="2">
        <v>45566</v>
      </c>
      <c r="B767">
        <v>2024</v>
      </c>
      <c r="C767">
        <v>10</v>
      </c>
      <c r="D767" s="1" t="s">
        <v>81</v>
      </c>
      <c r="E767">
        <v>38.51</v>
      </c>
      <c r="F767">
        <v>46.51</v>
      </c>
      <c r="G767">
        <v>82.8</v>
      </c>
    </row>
    <row r="768" spans="1:7" x14ac:dyDescent="0.25">
      <c r="A768" s="2">
        <v>45597</v>
      </c>
      <c r="B768">
        <v>2024</v>
      </c>
      <c r="C768">
        <v>11</v>
      </c>
      <c r="D768" s="1" t="s">
        <v>81</v>
      </c>
      <c r="E768">
        <v>33.72</v>
      </c>
      <c r="F768">
        <v>41.29</v>
      </c>
      <c r="G768">
        <v>81.7</v>
      </c>
    </row>
    <row r="769" spans="1:7" x14ac:dyDescent="0.25">
      <c r="A769" s="2">
        <v>45627</v>
      </c>
      <c r="B769">
        <v>2024</v>
      </c>
      <c r="C769">
        <v>12</v>
      </c>
      <c r="D769" s="1" t="s">
        <v>81</v>
      </c>
      <c r="E769">
        <v>32.159999999999997</v>
      </c>
      <c r="F769">
        <v>38.520000000000003</v>
      </c>
      <c r="G769">
        <v>83.5</v>
      </c>
    </row>
    <row r="770" spans="1:7" x14ac:dyDescent="0.25">
      <c r="A770" s="2">
        <v>45658</v>
      </c>
      <c r="B770">
        <v>2025</v>
      </c>
      <c r="C770">
        <v>1</v>
      </c>
      <c r="D770" s="1" t="s">
        <v>81</v>
      </c>
      <c r="E770">
        <v>29.24</v>
      </c>
      <c r="F770">
        <v>36.4</v>
      </c>
      <c r="G770">
        <v>80.3</v>
      </c>
    </row>
    <row r="771" spans="1:7" x14ac:dyDescent="0.25">
      <c r="A771" s="2">
        <v>45689</v>
      </c>
      <c r="B771">
        <v>2025</v>
      </c>
      <c r="C771">
        <v>2</v>
      </c>
      <c r="D771" s="1" t="s">
        <v>81</v>
      </c>
      <c r="E771">
        <v>30.21</v>
      </c>
      <c r="F771">
        <v>36.93</v>
      </c>
      <c r="G771">
        <v>81.8</v>
      </c>
    </row>
    <row r="772" spans="1:7" x14ac:dyDescent="0.25">
      <c r="A772" s="2">
        <v>45717</v>
      </c>
      <c r="B772">
        <v>2025</v>
      </c>
      <c r="C772">
        <v>3</v>
      </c>
      <c r="D772" s="1" t="s">
        <v>81</v>
      </c>
      <c r="E772">
        <v>31.42</v>
      </c>
      <c r="F772">
        <v>39.51</v>
      </c>
      <c r="G772">
        <v>79.5</v>
      </c>
    </row>
    <row r="773" spans="1:7" x14ac:dyDescent="0.25">
      <c r="A773" s="2">
        <v>45748</v>
      </c>
      <c r="B773">
        <v>2025</v>
      </c>
      <c r="C773">
        <v>4</v>
      </c>
      <c r="D773" s="1" t="s">
        <v>81</v>
      </c>
      <c r="E773">
        <v>33.42</v>
      </c>
      <c r="F773">
        <v>39.71</v>
      </c>
      <c r="G773">
        <v>84.2</v>
      </c>
    </row>
    <row r="774" spans="1:7" x14ac:dyDescent="0.25">
      <c r="A774" s="2">
        <v>45778</v>
      </c>
      <c r="B774">
        <v>2025</v>
      </c>
      <c r="C774">
        <v>5</v>
      </c>
      <c r="D774" s="1" t="s">
        <v>81</v>
      </c>
      <c r="E774">
        <v>36.53</v>
      </c>
      <c r="F774">
        <v>44.4</v>
      </c>
      <c r="G774">
        <v>82.3</v>
      </c>
    </row>
    <row r="775" spans="1:7" x14ac:dyDescent="0.25">
      <c r="A775" s="2">
        <v>45809</v>
      </c>
      <c r="B775">
        <v>2025</v>
      </c>
      <c r="C775">
        <v>6</v>
      </c>
      <c r="D775" s="1" t="s">
        <v>81</v>
      </c>
      <c r="E775">
        <v>38.86</v>
      </c>
      <c r="F775">
        <v>48.37</v>
      </c>
      <c r="G775">
        <v>80.3</v>
      </c>
    </row>
    <row r="776" spans="1:7" x14ac:dyDescent="0.25">
      <c r="A776" s="2">
        <v>45839</v>
      </c>
      <c r="B776">
        <v>2025</v>
      </c>
      <c r="C776">
        <v>7</v>
      </c>
      <c r="D776" s="1" t="s">
        <v>81</v>
      </c>
      <c r="E776">
        <v>41.15</v>
      </c>
      <c r="F776">
        <v>48.69</v>
      </c>
      <c r="G776">
        <v>84.5</v>
      </c>
    </row>
    <row r="777" spans="1:7" x14ac:dyDescent="0.25">
      <c r="A777" s="2">
        <v>45870</v>
      </c>
      <c r="B777">
        <v>2025</v>
      </c>
      <c r="C777">
        <v>8</v>
      </c>
      <c r="D777" s="1" t="s">
        <v>81</v>
      </c>
      <c r="E777">
        <v>42.11</v>
      </c>
      <c r="F777">
        <v>52.5</v>
      </c>
      <c r="G777">
        <v>80.2</v>
      </c>
    </row>
    <row r="778" spans="1:7" x14ac:dyDescent="0.25">
      <c r="A778" s="2">
        <v>45901</v>
      </c>
      <c r="B778">
        <v>2025</v>
      </c>
      <c r="C778">
        <v>9</v>
      </c>
      <c r="D778" s="1" t="s">
        <v>81</v>
      </c>
      <c r="E778">
        <v>41.19</v>
      </c>
      <c r="F778">
        <v>49.99</v>
      </c>
      <c r="G778">
        <v>82.4</v>
      </c>
    </row>
    <row r="779" spans="1:7" x14ac:dyDescent="0.25">
      <c r="A779" s="2">
        <v>45931</v>
      </c>
      <c r="B779">
        <v>2025</v>
      </c>
      <c r="C779">
        <v>10</v>
      </c>
      <c r="D779" s="1" t="s">
        <v>81</v>
      </c>
      <c r="E779">
        <v>39.6</v>
      </c>
      <c r="F779">
        <v>47.72</v>
      </c>
      <c r="G779">
        <v>83</v>
      </c>
    </row>
    <row r="780" spans="1:7" x14ac:dyDescent="0.25">
      <c r="A780" s="2">
        <v>45962</v>
      </c>
      <c r="B780">
        <v>2025</v>
      </c>
      <c r="C780">
        <v>11</v>
      </c>
      <c r="D780" s="1" t="s">
        <v>81</v>
      </c>
      <c r="E780">
        <v>38.090000000000003</v>
      </c>
      <c r="F780">
        <v>45.47</v>
      </c>
      <c r="G780">
        <v>83.8</v>
      </c>
    </row>
    <row r="781" spans="1:7" x14ac:dyDescent="0.25">
      <c r="A781" s="2">
        <v>45992</v>
      </c>
      <c r="B781">
        <v>2025</v>
      </c>
      <c r="C781">
        <v>12</v>
      </c>
      <c r="D781" s="1" t="s">
        <v>81</v>
      </c>
      <c r="E781">
        <v>36.44</v>
      </c>
      <c r="F781">
        <v>43.39</v>
      </c>
      <c r="G781">
        <v>84</v>
      </c>
    </row>
    <row r="782" spans="1:7" x14ac:dyDescent="0.25">
      <c r="A782" s="2">
        <v>46023</v>
      </c>
      <c r="B782">
        <v>2026</v>
      </c>
      <c r="C782">
        <v>1</v>
      </c>
      <c r="D782" s="1" t="s">
        <v>81</v>
      </c>
      <c r="E782">
        <v>32.15</v>
      </c>
      <c r="F782">
        <v>40.090000000000003</v>
      </c>
      <c r="G782">
        <v>80.2</v>
      </c>
    </row>
    <row r="783" spans="1:7" x14ac:dyDescent="0.25">
      <c r="A783" s="2">
        <v>46054</v>
      </c>
      <c r="B783">
        <v>2026</v>
      </c>
      <c r="C783">
        <v>2</v>
      </c>
      <c r="D783" s="1" t="s">
        <v>81</v>
      </c>
      <c r="E783">
        <v>32.229999999999997</v>
      </c>
      <c r="F783">
        <v>39.74</v>
      </c>
      <c r="G783">
        <v>81.099999999999994</v>
      </c>
    </row>
    <row r="784" spans="1:7" x14ac:dyDescent="0.25">
      <c r="A784" s="2">
        <v>46082</v>
      </c>
      <c r="B784">
        <v>2026</v>
      </c>
      <c r="C784">
        <v>3</v>
      </c>
      <c r="D784" s="1" t="s">
        <v>81</v>
      </c>
      <c r="E784">
        <v>31.95</v>
      </c>
      <c r="F784">
        <v>39.39</v>
      </c>
      <c r="G784">
        <v>81.099999999999994</v>
      </c>
    </row>
    <row r="785" spans="1:7" x14ac:dyDescent="0.25">
      <c r="A785" s="2">
        <v>46113</v>
      </c>
      <c r="B785">
        <v>2026</v>
      </c>
      <c r="C785">
        <v>4</v>
      </c>
      <c r="D785" s="1" t="s">
        <v>81</v>
      </c>
      <c r="E785">
        <v>34.65</v>
      </c>
      <c r="F785">
        <v>42.96</v>
      </c>
      <c r="G785">
        <v>80.7</v>
      </c>
    </row>
    <row r="786" spans="1:7" x14ac:dyDescent="0.25">
      <c r="A786" s="2">
        <v>40179</v>
      </c>
      <c r="B786">
        <v>2010</v>
      </c>
      <c r="C786">
        <v>1</v>
      </c>
      <c r="D786" s="1" t="s">
        <v>95</v>
      </c>
      <c r="E786">
        <v>11.99</v>
      </c>
      <c r="F786">
        <v>14.21</v>
      </c>
      <c r="G786">
        <v>84.4</v>
      </c>
    </row>
    <row r="787" spans="1:7" x14ac:dyDescent="0.25">
      <c r="A787" s="2">
        <v>40210</v>
      </c>
      <c r="B787">
        <v>2010</v>
      </c>
      <c r="C787">
        <v>2</v>
      </c>
      <c r="D787" s="1" t="s">
        <v>95</v>
      </c>
      <c r="E787">
        <v>12.08</v>
      </c>
      <c r="F787">
        <v>13.89</v>
      </c>
      <c r="G787">
        <v>86.9</v>
      </c>
    </row>
    <row r="788" spans="1:7" x14ac:dyDescent="0.25">
      <c r="A788" s="2">
        <v>40238</v>
      </c>
      <c r="B788">
        <v>2010</v>
      </c>
      <c r="C788">
        <v>3</v>
      </c>
      <c r="D788" s="1" t="s">
        <v>95</v>
      </c>
      <c r="E788">
        <v>11.71</v>
      </c>
      <c r="F788">
        <v>14.39</v>
      </c>
      <c r="G788">
        <v>81.400000000000006</v>
      </c>
    </row>
    <row r="789" spans="1:7" x14ac:dyDescent="0.25">
      <c r="A789" s="2">
        <v>40269</v>
      </c>
      <c r="B789">
        <v>2010</v>
      </c>
      <c r="C789">
        <v>4</v>
      </c>
      <c r="D789" s="1" t="s">
        <v>95</v>
      </c>
      <c r="E789">
        <v>11.15</v>
      </c>
      <c r="F789">
        <v>13.51</v>
      </c>
      <c r="G789">
        <v>82.5</v>
      </c>
    </row>
    <row r="790" spans="1:7" x14ac:dyDescent="0.25">
      <c r="A790" s="2">
        <v>40299</v>
      </c>
      <c r="B790">
        <v>2010</v>
      </c>
      <c r="C790">
        <v>5</v>
      </c>
      <c r="D790" s="1" t="s">
        <v>95</v>
      </c>
      <c r="E790">
        <v>10.78</v>
      </c>
      <c r="F790">
        <v>12.51</v>
      </c>
      <c r="G790">
        <v>86.2</v>
      </c>
    </row>
    <row r="791" spans="1:7" x14ac:dyDescent="0.25">
      <c r="A791" s="2">
        <v>40330</v>
      </c>
      <c r="B791">
        <v>2010</v>
      </c>
      <c r="C791">
        <v>6</v>
      </c>
      <c r="D791" s="1" t="s">
        <v>95</v>
      </c>
      <c r="E791">
        <v>10.02</v>
      </c>
      <c r="F791">
        <v>11.97</v>
      </c>
      <c r="G791">
        <v>83.7</v>
      </c>
    </row>
    <row r="792" spans="1:7" x14ac:dyDescent="0.25">
      <c r="A792" s="2">
        <v>40360</v>
      </c>
      <c r="B792">
        <v>2010</v>
      </c>
      <c r="C792">
        <v>7</v>
      </c>
      <c r="D792" s="1" t="s">
        <v>95</v>
      </c>
      <c r="E792">
        <v>10.23</v>
      </c>
      <c r="F792">
        <v>12.98</v>
      </c>
      <c r="G792">
        <v>78.900000000000006</v>
      </c>
    </row>
    <row r="793" spans="1:7" x14ac:dyDescent="0.25">
      <c r="A793" s="2">
        <v>40391</v>
      </c>
      <c r="B793">
        <v>2010</v>
      </c>
      <c r="C793">
        <v>8</v>
      </c>
      <c r="D793" s="1" t="s">
        <v>95</v>
      </c>
      <c r="E793">
        <v>10.61</v>
      </c>
      <c r="F793">
        <v>12.55</v>
      </c>
      <c r="G793">
        <v>84.5</v>
      </c>
    </row>
    <row r="794" spans="1:7" x14ac:dyDescent="0.25">
      <c r="A794" s="2">
        <v>40422</v>
      </c>
      <c r="B794">
        <v>2010</v>
      </c>
      <c r="C794">
        <v>9</v>
      </c>
      <c r="D794" s="1" t="s">
        <v>95</v>
      </c>
      <c r="E794">
        <v>10.56</v>
      </c>
      <c r="F794">
        <v>12.87</v>
      </c>
      <c r="G794">
        <v>82</v>
      </c>
    </row>
    <row r="795" spans="1:7" x14ac:dyDescent="0.25">
      <c r="A795" s="2">
        <v>40452</v>
      </c>
      <c r="B795">
        <v>2010</v>
      </c>
      <c r="C795">
        <v>10</v>
      </c>
      <c r="D795" s="1" t="s">
        <v>95</v>
      </c>
      <c r="E795">
        <v>10.87</v>
      </c>
      <c r="F795">
        <v>13.68</v>
      </c>
      <c r="G795">
        <v>79.5</v>
      </c>
    </row>
    <row r="796" spans="1:7" x14ac:dyDescent="0.25">
      <c r="A796" s="2">
        <v>40483</v>
      </c>
      <c r="B796">
        <v>2010</v>
      </c>
      <c r="C796">
        <v>11</v>
      </c>
      <c r="D796" s="1" t="s">
        <v>95</v>
      </c>
      <c r="E796">
        <v>12.46</v>
      </c>
      <c r="F796">
        <v>15.37</v>
      </c>
      <c r="G796">
        <v>81.099999999999994</v>
      </c>
    </row>
    <row r="797" spans="1:7" x14ac:dyDescent="0.25">
      <c r="A797" s="2">
        <v>40513</v>
      </c>
      <c r="B797">
        <v>2010</v>
      </c>
      <c r="C797">
        <v>12</v>
      </c>
      <c r="D797" s="1" t="s">
        <v>95</v>
      </c>
      <c r="E797">
        <v>12.14</v>
      </c>
      <c r="F797">
        <v>14.72</v>
      </c>
      <c r="G797">
        <v>82.5</v>
      </c>
    </row>
    <row r="798" spans="1:7" x14ac:dyDescent="0.25">
      <c r="A798" s="2">
        <v>40544</v>
      </c>
      <c r="B798">
        <v>2011</v>
      </c>
      <c r="C798">
        <v>1</v>
      </c>
      <c r="D798" s="1" t="s">
        <v>95</v>
      </c>
      <c r="E798">
        <v>12.56</v>
      </c>
      <c r="F798">
        <v>15.5</v>
      </c>
      <c r="G798">
        <v>81.099999999999994</v>
      </c>
    </row>
    <row r="799" spans="1:7" x14ac:dyDescent="0.25">
      <c r="A799" s="2">
        <v>40575</v>
      </c>
      <c r="B799">
        <v>2011</v>
      </c>
      <c r="C799">
        <v>2</v>
      </c>
      <c r="D799" s="1" t="s">
        <v>95</v>
      </c>
      <c r="E799">
        <v>12.94</v>
      </c>
      <c r="F799">
        <v>16.239999999999998</v>
      </c>
      <c r="G799">
        <v>79.7</v>
      </c>
    </row>
    <row r="800" spans="1:7" x14ac:dyDescent="0.25">
      <c r="A800" s="2">
        <v>40603</v>
      </c>
      <c r="B800">
        <v>2011</v>
      </c>
      <c r="C800">
        <v>3</v>
      </c>
      <c r="D800" s="1" t="s">
        <v>95</v>
      </c>
      <c r="E800">
        <v>11.96</v>
      </c>
      <c r="F800">
        <v>14.53</v>
      </c>
      <c r="G800">
        <v>82.3</v>
      </c>
    </row>
    <row r="801" spans="1:7" x14ac:dyDescent="0.25">
      <c r="A801" s="2">
        <v>40634</v>
      </c>
      <c r="B801">
        <v>2011</v>
      </c>
      <c r="C801">
        <v>4</v>
      </c>
      <c r="D801" s="1" t="s">
        <v>95</v>
      </c>
      <c r="E801">
        <v>12.1</v>
      </c>
      <c r="F801">
        <v>14.32</v>
      </c>
      <c r="G801">
        <v>84.5</v>
      </c>
    </row>
    <row r="802" spans="1:7" x14ac:dyDescent="0.25">
      <c r="A802" s="2">
        <v>40664</v>
      </c>
      <c r="B802">
        <v>2011</v>
      </c>
      <c r="C802">
        <v>5</v>
      </c>
      <c r="D802" s="1" t="s">
        <v>95</v>
      </c>
      <c r="E802">
        <v>10.99</v>
      </c>
      <c r="F802">
        <v>13.1</v>
      </c>
      <c r="G802">
        <v>83.9</v>
      </c>
    </row>
    <row r="803" spans="1:7" x14ac:dyDescent="0.25">
      <c r="A803" s="2">
        <v>40695</v>
      </c>
      <c r="B803">
        <v>2011</v>
      </c>
      <c r="C803">
        <v>6</v>
      </c>
      <c r="D803" s="1" t="s">
        <v>95</v>
      </c>
      <c r="E803">
        <v>10.57</v>
      </c>
      <c r="F803">
        <v>12.34</v>
      </c>
      <c r="G803">
        <v>85.7</v>
      </c>
    </row>
    <row r="804" spans="1:7" x14ac:dyDescent="0.25">
      <c r="A804" s="2">
        <v>40725</v>
      </c>
      <c r="B804">
        <v>2011</v>
      </c>
      <c r="C804">
        <v>7</v>
      </c>
      <c r="D804" s="1" t="s">
        <v>95</v>
      </c>
      <c r="E804">
        <v>10.35</v>
      </c>
      <c r="F804">
        <v>12.23</v>
      </c>
      <c r="G804">
        <v>84.7</v>
      </c>
    </row>
    <row r="805" spans="1:7" x14ac:dyDescent="0.25">
      <c r="A805" s="2">
        <v>40756</v>
      </c>
      <c r="B805">
        <v>2011</v>
      </c>
      <c r="C805">
        <v>8</v>
      </c>
      <c r="D805" s="1" t="s">
        <v>95</v>
      </c>
      <c r="E805">
        <v>10.7</v>
      </c>
      <c r="F805">
        <v>12.44</v>
      </c>
      <c r="G805">
        <v>86</v>
      </c>
    </row>
    <row r="806" spans="1:7" x14ac:dyDescent="0.25">
      <c r="A806" s="2">
        <v>40787</v>
      </c>
      <c r="B806">
        <v>2011</v>
      </c>
      <c r="C806">
        <v>9</v>
      </c>
      <c r="D806" s="1" t="s">
        <v>95</v>
      </c>
      <c r="E806">
        <v>11.6</v>
      </c>
      <c r="F806">
        <v>14.51</v>
      </c>
      <c r="G806">
        <v>80</v>
      </c>
    </row>
    <row r="807" spans="1:7" x14ac:dyDescent="0.25">
      <c r="A807" s="2">
        <v>40817</v>
      </c>
      <c r="B807">
        <v>2011</v>
      </c>
      <c r="C807">
        <v>10</v>
      </c>
      <c r="D807" s="1" t="s">
        <v>95</v>
      </c>
      <c r="E807">
        <v>11.86</v>
      </c>
      <c r="F807">
        <v>14.2</v>
      </c>
      <c r="G807">
        <v>83.6</v>
      </c>
    </row>
    <row r="808" spans="1:7" x14ac:dyDescent="0.25">
      <c r="A808" s="2">
        <v>40848</v>
      </c>
      <c r="B808">
        <v>2011</v>
      </c>
      <c r="C808">
        <v>11</v>
      </c>
      <c r="D808" s="1" t="s">
        <v>95</v>
      </c>
      <c r="E808">
        <v>13.11</v>
      </c>
      <c r="F808">
        <v>16.02</v>
      </c>
      <c r="G808">
        <v>81.900000000000006</v>
      </c>
    </row>
    <row r="809" spans="1:7" x14ac:dyDescent="0.25">
      <c r="A809" s="2">
        <v>40878</v>
      </c>
      <c r="B809">
        <v>2011</v>
      </c>
      <c r="C809">
        <v>12</v>
      </c>
      <c r="D809" s="1" t="s">
        <v>95</v>
      </c>
      <c r="E809">
        <v>13.22</v>
      </c>
      <c r="F809">
        <v>15.83</v>
      </c>
      <c r="G809">
        <v>83.5</v>
      </c>
    </row>
    <row r="810" spans="1:7" x14ac:dyDescent="0.25">
      <c r="A810" s="2">
        <v>40909</v>
      </c>
      <c r="B810">
        <v>2012</v>
      </c>
      <c r="C810">
        <v>1</v>
      </c>
      <c r="D810" s="1" t="s">
        <v>95</v>
      </c>
      <c r="E810">
        <v>13.47</v>
      </c>
      <c r="F810">
        <v>16.97</v>
      </c>
      <c r="G810">
        <v>79.400000000000006</v>
      </c>
    </row>
    <row r="811" spans="1:7" x14ac:dyDescent="0.25">
      <c r="A811" s="2">
        <v>40940</v>
      </c>
      <c r="B811">
        <v>2012</v>
      </c>
      <c r="C811">
        <v>2</v>
      </c>
      <c r="D811" s="1" t="s">
        <v>95</v>
      </c>
      <c r="E811">
        <v>12.99</v>
      </c>
      <c r="F811">
        <v>15.75</v>
      </c>
      <c r="G811">
        <v>82.5</v>
      </c>
    </row>
    <row r="812" spans="1:7" x14ac:dyDescent="0.25">
      <c r="A812" s="2">
        <v>40969</v>
      </c>
      <c r="B812">
        <v>2012</v>
      </c>
      <c r="C812">
        <v>3</v>
      </c>
      <c r="D812" s="1" t="s">
        <v>95</v>
      </c>
      <c r="E812">
        <v>13.39</v>
      </c>
      <c r="F812">
        <v>15.72</v>
      </c>
      <c r="G812">
        <v>85.2</v>
      </c>
    </row>
    <row r="813" spans="1:7" x14ac:dyDescent="0.25">
      <c r="A813" s="2">
        <v>41000</v>
      </c>
      <c r="B813">
        <v>2012</v>
      </c>
      <c r="C813">
        <v>4</v>
      </c>
      <c r="D813" s="1" t="s">
        <v>95</v>
      </c>
      <c r="E813">
        <v>12.64</v>
      </c>
      <c r="F813">
        <v>15.31</v>
      </c>
      <c r="G813">
        <v>82.6</v>
      </c>
    </row>
    <row r="814" spans="1:7" x14ac:dyDescent="0.25">
      <c r="A814" s="2">
        <v>41030</v>
      </c>
      <c r="B814">
        <v>2012</v>
      </c>
      <c r="C814">
        <v>5</v>
      </c>
      <c r="D814" s="1" t="s">
        <v>95</v>
      </c>
      <c r="E814">
        <v>12.05</v>
      </c>
      <c r="F814">
        <v>14.94</v>
      </c>
      <c r="G814">
        <v>80.7</v>
      </c>
    </row>
    <row r="815" spans="1:7" x14ac:dyDescent="0.25">
      <c r="A815" s="2">
        <v>41061</v>
      </c>
      <c r="B815">
        <v>2012</v>
      </c>
      <c r="C815">
        <v>6</v>
      </c>
      <c r="D815" s="1" t="s">
        <v>95</v>
      </c>
      <c r="E815">
        <v>11.32</v>
      </c>
      <c r="F815">
        <v>14.09</v>
      </c>
      <c r="G815">
        <v>80.400000000000006</v>
      </c>
    </row>
    <row r="816" spans="1:7" x14ac:dyDescent="0.25">
      <c r="A816" s="2">
        <v>41091</v>
      </c>
      <c r="B816">
        <v>2012</v>
      </c>
      <c r="C816">
        <v>7</v>
      </c>
      <c r="D816" s="1" t="s">
        <v>95</v>
      </c>
      <c r="E816">
        <v>10.84</v>
      </c>
      <c r="F816">
        <v>13.11</v>
      </c>
      <c r="G816">
        <v>82.7</v>
      </c>
    </row>
    <row r="817" spans="1:7" x14ac:dyDescent="0.25">
      <c r="A817" s="2">
        <v>41122</v>
      </c>
      <c r="B817">
        <v>2012</v>
      </c>
      <c r="C817">
        <v>8</v>
      </c>
      <c r="D817" s="1" t="s">
        <v>95</v>
      </c>
      <c r="E817">
        <v>11.53</v>
      </c>
      <c r="F817">
        <v>13.83</v>
      </c>
      <c r="G817">
        <v>83.4</v>
      </c>
    </row>
    <row r="818" spans="1:7" x14ac:dyDescent="0.25">
      <c r="A818" s="2">
        <v>41153</v>
      </c>
      <c r="B818">
        <v>2012</v>
      </c>
      <c r="C818">
        <v>9</v>
      </c>
      <c r="D818" s="1" t="s">
        <v>95</v>
      </c>
      <c r="E818">
        <v>12.17</v>
      </c>
      <c r="F818">
        <v>14.75</v>
      </c>
      <c r="G818">
        <v>82.5</v>
      </c>
    </row>
    <row r="819" spans="1:7" x14ac:dyDescent="0.25">
      <c r="A819" s="2">
        <v>41183</v>
      </c>
      <c r="B819">
        <v>2012</v>
      </c>
      <c r="C819">
        <v>10</v>
      </c>
      <c r="D819" s="1" t="s">
        <v>95</v>
      </c>
      <c r="E819">
        <v>12.86</v>
      </c>
      <c r="F819">
        <v>15.7</v>
      </c>
      <c r="G819">
        <v>81.900000000000006</v>
      </c>
    </row>
    <row r="820" spans="1:7" x14ac:dyDescent="0.25">
      <c r="A820" s="2">
        <v>41214</v>
      </c>
      <c r="B820">
        <v>2012</v>
      </c>
      <c r="C820">
        <v>11</v>
      </c>
      <c r="D820" s="1" t="s">
        <v>95</v>
      </c>
      <c r="E820">
        <v>13.5</v>
      </c>
      <c r="F820">
        <v>16.760000000000002</v>
      </c>
      <c r="G820">
        <v>80.5</v>
      </c>
    </row>
    <row r="821" spans="1:7" x14ac:dyDescent="0.25">
      <c r="A821" s="2">
        <v>41244</v>
      </c>
      <c r="B821">
        <v>2012</v>
      </c>
      <c r="C821">
        <v>12</v>
      </c>
      <c r="D821" s="1" t="s">
        <v>95</v>
      </c>
      <c r="E821">
        <v>14.01</v>
      </c>
      <c r="F821">
        <v>16.809999999999999</v>
      </c>
      <c r="G821">
        <v>83.3</v>
      </c>
    </row>
    <row r="822" spans="1:7" x14ac:dyDescent="0.25">
      <c r="A822" s="2">
        <v>41275</v>
      </c>
      <c r="B822">
        <v>2013</v>
      </c>
      <c r="C822">
        <v>1</v>
      </c>
      <c r="D822" s="1" t="s">
        <v>95</v>
      </c>
      <c r="E822">
        <v>13.8</v>
      </c>
      <c r="F822">
        <v>16.809999999999999</v>
      </c>
      <c r="G822">
        <v>82.1</v>
      </c>
    </row>
    <row r="823" spans="1:7" x14ac:dyDescent="0.25">
      <c r="A823" s="2">
        <v>41306</v>
      </c>
      <c r="B823">
        <v>2013</v>
      </c>
      <c r="C823">
        <v>2</v>
      </c>
      <c r="D823" s="1" t="s">
        <v>95</v>
      </c>
      <c r="E823">
        <v>13.7</v>
      </c>
      <c r="F823">
        <v>16.93</v>
      </c>
      <c r="G823">
        <v>80.900000000000006</v>
      </c>
    </row>
    <row r="824" spans="1:7" x14ac:dyDescent="0.25">
      <c r="A824" s="2">
        <v>41334</v>
      </c>
      <c r="B824">
        <v>2013</v>
      </c>
      <c r="C824">
        <v>3</v>
      </c>
      <c r="D824" s="1" t="s">
        <v>95</v>
      </c>
      <c r="E824">
        <v>13.1</v>
      </c>
      <c r="F824">
        <v>15.49</v>
      </c>
      <c r="G824">
        <v>84.5</v>
      </c>
    </row>
    <row r="825" spans="1:7" x14ac:dyDescent="0.25">
      <c r="A825" s="2">
        <v>41365</v>
      </c>
      <c r="B825">
        <v>2013</v>
      </c>
      <c r="C825">
        <v>4</v>
      </c>
      <c r="D825" s="1" t="s">
        <v>95</v>
      </c>
      <c r="E825">
        <v>13.37</v>
      </c>
      <c r="F825">
        <v>16.09</v>
      </c>
      <c r="G825">
        <v>83.1</v>
      </c>
    </row>
    <row r="826" spans="1:7" x14ac:dyDescent="0.25">
      <c r="A826" s="2">
        <v>41395</v>
      </c>
      <c r="B826">
        <v>2013</v>
      </c>
      <c r="C826">
        <v>5</v>
      </c>
      <c r="D826" s="1" t="s">
        <v>95</v>
      </c>
      <c r="E826">
        <v>13.1</v>
      </c>
      <c r="F826">
        <v>16.05</v>
      </c>
      <c r="G826">
        <v>81.599999999999994</v>
      </c>
    </row>
    <row r="827" spans="1:7" x14ac:dyDescent="0.25">
      <c r="A827" s="2">
        <v>41426</v>
      </c>
      <c r="B827">
        <v>2013</v>
      </c>
      <c r="C827">
        <v>6</v>
      </c>
      <c r="D827" s="1" t="s">
        <v>95</v>
      </c>
      <c r="E827">
        <v>13.05</v>
      </c>
      <c r="F827">
        <v>16.010000000000002</v>
      </c>
      <c r="G827">
        <v>81.5</v>
      </c>
    </row>
    <row r="828" spans="1:7" x14ac:dyDescent="0.25">
      <c r="A828" s="2">
        <v>41456</v>
      </c>
      <c r="B828">
        <v>2013</v>
      </c>
      <c r="C828">
        <v>7</v>
      </c>
      <c r="D828" s="1" t="s">
        <v>95</v>
      </c>
      <c r="E828">
        <v>11.88</v>
      </c>
      <c r="F828">
        <v>14.63</v>
      </c>
      <c r="G828">
        <v>81.2</v>
      </c>
    </row>
    <row r="829" spans="1:7" x14ac:dyDescent="0.25">
      <c r="A829" s="2">
        <v>41487</v>
      </c>
      <c r="B829">
        <v>2013</v>
      </c>
      <c r="C829">
        <v>8</v>
      </c>
      <c r="D829" s="1" t="s">
        <v>95</v>
      </c>
      <c r="E829">
        <v>12.15</v>
      </c>
      <c r="F829">
        <v>14.52</v>
      </c>
      <c r="G829">
        <v>83.7</v>
      </c>
    </row>
    <row r="830" spans="1:7" x14ac:dyDescent="0.25">
      <c r="A830" s="2">
        <v>41518</v>
      </c>
      <c r="B830">
        <v>2013</v>
      </c>
      <c r="C830">
        <v>9</v>
      </c>
      <c r="D830" s="1" t="s">
        <v>95</v>
      </c>
      <c r="E830">
        <v>12.5</v>
      </c>
      <c r="F830">
        <v>14.61</v>
      </c>
      <c r="G830">
        <v>85.6</v>
      </c>
    </row>
    <row r="831" spans="1:7" x14ac:dyDescent="0.25">
      <c r="A831" s="2">
        <v>41548</v>
      </c>
      <c r="B831">
        <v>2013</v>
      </c>
      <c r="C831">
        <v>10</v>
      </c>
      <c r="D831" s="1" t="s">
        <v>95</v>
      </c>
      <c r="E831">
        <v>13.35</v>
      </c>
      <c r="F831">
        <v>16.170000000000002</v>
      </c>
      <c r="G831">
        <v>82.5</v>
      </c>
    </row>
    <row r="832" spans="1:7" x14ac:dyDescent="0.25">
      <c r="A832" s="2">
        <v>41579</v>
      </c>
      <c r="B832">
        <v>2013</v>
      </c>
      <c r="C832">
        <v>11</v>
      </c>
      <c r="D832" s="1" t="s">
        <v>95</v>
      </c>
      <c r="E832">
        <v>13.59</v>
      </c>
      <c r="F832">
        <v>16.399999999999999</v>
      </c>
      <c r="G832">
        <v>82.8</v>
      </c>
    </row>
    <row r="833" spans="1:7" x14ac:dyDescent="0.25">
      <c r="A833" s="2">
        <v>41609</v>
      </c>
      <c r="B833">
        <v>2013</v>
      </c>
      <c r="C833">
        <v>12</v>
      </c>
      <c r="D833" s="1" t="s">
        <v>95</v>
      </c>
      <c r="E833">
        <v>14.45</v>
      </c>
      <c r="F833">
        <v>17.88</v>
      </c>
      <c r="G833">
        <v>80.8</v>
      </c>
    </row>
    <row r="834" spans="1:7" x14ac:dyDescent="0.25">
      <c r="A834" s="2">
        <v>41640</v>
      </c>
      <c r="B834">
        <v>2014</v>
      </c>
      <c r="C834">
        <v>1</v>
      </c>
      <c r="D834" s="1" t="s">
        <v>95</v>
      </c>
      <c r="E834">
        <v>14.4</v>
      </c>
      <c r="F834">
        <v>16.489999999999998</v>
      </c>
      <c r="G834">
        <v>87.3</v>
      </c>
    </row>
    <row r="835" spans="1:7" x14ac:dyDescent="0.25">
      <c r="A835" s="2">
        <v>41671</v>
      </c>
      <c r="B835">
        <v>2014</v>
      </c>
      <c r="C835">
        <v>2</v>
      </c>
      <c r="D835" s="1" t="s">
        <v>95</v>
      </c>
      <c r="E835">
        <v>14.5</v>
      </c>
      <c r="F835">
        <v>18.329999999999998</v>
      </c>
      <c r="G835">
        <v>79.099999999999994</v>
      </c>
    </row>
    <row r="836" spans="1:7" x14ac:dyDescent="0.25">
      <c r="A836" s="2">
        <v>41699</v>
      </c>
      <c r="B836">
        <v>2014</v>
      </c>
      <c r="C836">
        <v>3</v>
      </c>
      <c r="D836" s="1" t="s">
        <v>95</v>
      </c>
      <c r="E836">
        <v>13.88</v>
      </c>
      <c r="F836">
        <v>16.95</v>
      </c>
      <c r="G836">
        <v>81.900000000000006</v>
      </c>
    </row>
    <row r="837" spans="1:7" x14ac:dyDescent="0.25">
      <c r="A837" s="2">
        <v>41730</v>
      </c>
      <c r="B837">
        <v>2014</v>
      </c>
      <c r="C837">
        <v>4</v>
      </c>
      <c r="D837" s="1" t="s">
        <v>95</v>
      </c>
      <c r="E837">
        <v>13.77</v>
      </c>
      <c r="F837">
        <v>16.57</v>
      </c>
      <c r="G837">
        <v>83.1</v>
      </c>
    </row>
    <row r="838" spans="1:7" x14ac:dyDescent="0.25">
      <c r="A838" s="2">
        <v>41760</v>
      </c>
      <c r="B838">
        <v>2014</v>
      </c>
      <c r="C838">
        <v>5</v>
      </c>
      <c r="D838" s="1" t="s">
        <v>95</v>
      </c>
      <c r="E838">
        <v>13.18</v>
      </c>
      <c r="F838">
        <v>16.34</v>
      </c>
      <c r="G838">
        <v>80.7</v>
      </c>
    </row>
    <row r="839" spans="1:7" x14ac:dyDescent="0.25">
      <c r="A839" s="2">
        <v>41791</v>
      </c>
      <c r="B839">
        <v>2014</v>
      </c>
      <c r="C839">
        <v>6</v>
      </c>
      <c r="D839" s="1" t="s">
        <v>95</v>
      </c>
      <c r="E839">
        <v>12.6</v>
      </c>
      <c r="F839">
        <v>15.7</v>
      </c>
      <c r="G839">
        <v>80.2</v>
      </c>
    </row>
    <row r="840" spans="1:7" x14ac:dyDescent="0.25">
      <c r="A840" s="2">
        <v>41821</v>
      </c>
      <c r="B840">
        <v>2014</v>
      </c>
      <c r="C840">
        <v>7</v>
      </c>
      <c r="D840" s="1" t="s">
        <v>95</v>
      </c>
      <c r="E840">
        <v>12.1</v>
      </c>
      <c r="F840">
        <v>15.1</v>
      </c>
      <c r="G840">
        <v>80.2</v>
      </c>
    </row>
    <row r="841" spans="1:7" x14ac:dyDescent="0.25">
      <c r="A841" s="2">
        <v>41852</v>
      </c>
      <c r="B841">
        <v>2014</v>
      </c>
      <c r="C841">
        <v>8</v>
      </c>
      <c r="D841" s="1" t="s">
        <v>95</v>
      </c>
      <c r="E841">
        <v>12.12</v>
      </c>
      <c r="F841">
        <v>14.41</v>
      </c>
      <c r="G841">
        <v>84.1</v>
      </c>
    </row>
    <row r="842" spans="1:7" x14ac:dyDescent="0.25">
      <c r="A842" s="2">
        <v>41883</v>
      </c>
      <c r="B842">
        <v>2014</v>
      </c>
      <c r="C842">
        <v>9</v>
      </c>
      <c r="D842" s="1" t="s">
        <v>95</v>
      </c>
      <c r="E842">
        <v>13.38</v>
      </c>
      <c r="F842">
        <v>15.94</v>
      </c>
      <c r="G842">
        <v>84</v>
      </c>
    </row>
    <row r="843" spans="1:7" x14ac:dyDescent="0.25">
      <c r="A843" s="2">
        <v>41913</v>
      </c>
      <c r="B843">
        <v>2014</v>
      </c>
      <c r="C843">
        <v>10</v>
      </c>
      <c r="D843" s="1" t="s">
        <v>95</v>
      </c>
      <c r="E843">
        <v>13.87</v>
      </c>
      <c r="F843">
        <v>16.600000000000001</v>
      </c>
      <c r="G843">
        <v>83.6</v>
      </c>
    </row>
    <row r="844" spans="1:7" x14ac:dyDescent="0.25">
      <c r="A844" s="2">
        <v>41944</v>
      </c>
      <c r="B844">
        <v>2014</v>
      </c>
      <c r="C844">
        <v>11</v>
      </c>
      <c r="D844" s="1" t="s">
        <v>95</v>
      </c>
      <c r="E844">
        <v>13.84</v>
      </c>
      <c r="F844">
        <v>16.53</v>
      </c>
      <c r="G844">
        <v>83.7</v>
      </c>
    </row>
    <row r="845" spans="1:7" x14ac:dyDescent="0.25">
      <c r="A845" s="2">
        <v>41974</v>
      </c>
      <c r="B845">
        <v>2014</v>
      </c>
      <c r="C845">
        <v>12</v>
      </c>
      <c r="D845" s="1" t="s">
        <v>95</v>
      </c>
      <c r="E845">
        <v>15.24</v>
      </c>
      <c r="F845">
        <v>18.3</v>
      </c>
      <c r="G845">
        <v>83.3</v>
      </c>
    </row>
    <row r="846" spans="1:7" x14ac:dyDescent="0.25">
      <c r="A846" s="2">
        <v>42005</v>
      </c>
      <c r="B846">
        <v>2015</v>
      </c>
      <c r="C846">
        <v>1</v>
      </c>
      <c r="D846" s="1" t="s">
        <v>95</v>
      </c>
      <c r="E846">
        <v>15.58</v>
      </c>
      <c r="F846">
        <v>19.46</v>
      </c>
      <c r="G846">
        <v>80</v>
      </c>
    </row>
    <row r="847" spans="1:7" x14ac:dyDescent="0.25">
      <c r="A847" s="2">
        <v>42036</v>
      </c>
      <c r="B847">
        <v>2015</v>
      </c>
      <c r="C847">
        <v>2</v>
      </c>
      <c r="D847" s="1" t="s">
        <v>95</v>
      </c>
      <c r="E847">
        <v>14.63</v>
      </c>
      <c r="F847">
        <v>18.16</v>
      </c>
      <c r="G847">
        <v>80.599999999999994</v>
      </c>
    </row>
    <row r="848" spans="1:7" x14ac:dyDescent="0.25">
      <c r="A848" s="2">
        <v>42064</v>
      </c>
      <c r="B848">
        <v>2015</v>
      </c>
      <c r="C848">
        <v>3</v>
      </c>
      <c r="D848" s="1" t="s">
        <v>95</v>
      </c>
      <c r="E848">
        <v>15.13</v>
      </c>
      <c r="F848">
        <v>18.14</v>
      </c>
      <c r="G848">
        <v>83.4</v>
      </c>
    </row>
    <row r="849" spans="1:7" x14ac:dyDescent="0.25">
      <c r="A849" s="2">
        <v>42095</v>
      </c>
      <c r="B849">
        <v>2015</v>
      </c>
      <c r="C849">
        <v>4</v>
      </c>
      <c r="D849" s="1" t="s">
        <v>95</v>
      </c>
      <c r="E849">
        <v>13.68</v>
      </c>
      <c r="F849">
        <v>17.09</v>
      </c>
      <c r="G849">
        <v>80</v>
      </c>
    </row>
    <row r="850" spans="1:7" x14ac:dyDescent="0.25">
      <c r="A850" s="2">
        <v>42125</v>
      </c>
      <c r="B850">
        <v>2015</v>
      </c>
      <c r="C850">
        <v>5</v>
      </c>
      <c r="D850" s="1" t="s">
        <v>95</v>
      </c>
      <c r="E850">
        <v>13.32</v>
      </c>
      <c r="F850">
        <v>16.39</v>
      </c>
      <c r="G850">
        <v>81.3</v>
      </c>
    </row>
    <row r="851" spans="1:7" x14ac:dyDescent="0.25">
      <c r="A851" s="2">
        <v>42156</v>
      </c>
      <c r="B851">
        <v>2015</v>
      </c>
      <c r="C851">
        <v>6</v>
      </c>
      <c r="D851" s="1" t="s">
        <v>95</v>
      </c>
      <c r="E851">
        <v>12.64</v>
      </c>
      <c r="F851">
        <v>15.97</v>
      </c>
      <c r="G851">
        <v>79.2</v>
      </c>
    </row>
    <row r="852" spans="1:7" x14ac:dyDescent="0.25">
      <c r="A852" s="2">
        <v>42186</v>
      </c>
      <c r="B852">
        <v>2015</v>
      </c>
      <c r="C852">
        <v>7</v>
      </c>
      <c r="D852" s="1" t="s">
        <v>95</v>
      </c>
      <c r="E852">
        <v>12.73</v>
      </c>
      <c r="F852">
        <v>15.49</v>
      </c>
      <c r="G852">
        <v>82.2</v>
      </c>
    </row>
    <row r="853" spans="1:7" x14ac:dyDescent="0.25">
      <c r="A853" s="2">
        <v>42217</v>
      </c>
      <c r="B853">
        <v>2015</v>
      </c>
      <c r="C853">
        <v>8</v>
      </c>
      <c r="D853" s="1" t="s">
        <v>95</v>
      </c>
      <c r="E853">
        <v>12.86</v>
      </c>
      <c r="F853">
        <v>15.72</v>
      </c>
      <c r="G853">
        <v>81.8</v>
      </c>
    </row>
    <row r="854" spans="1:7" x14ac:dyDescent="0.25">
      <c r="A854" s="2">
        <v>42248</v>
      </c>
      <c r="B854">
        <v>2015</v>
      </c>
      <c r="C854">
        <v>9</v>
      </c>
      <c r="D854" s="1" t="s">
        <v>95</v>
      </c>
      <c r="E854">
        <v>14.38</v>
      </c>
      <c r="F854">
        <v>18.12</v>
      </c>
      <c r="G854">
        <v>79.400000000000006</v>
      </c>
    </row>
    <row r="855" spans="1:7" x14ac:dyDescent="0.25">
      <c r="A855" s="2">
        <v>42278</v>
      </c>
      <c r="B855">
        <v>2015</v>
      </c>
      <c r="C855">
        <v>10</v>
      </c>
      <c r="D855" s="1" t="s">
        <v>95</v>
      </c>
      <c r="E855">
        <v>14.66</v>
      </c>
      <c r="F855">
        <v>17.440000000000001</v>
      </c>
      <c r="G855">
        <v>84</v>
      </c>
    </row>
    <row r="856" spans="1:7" x14ac:dyDescent="0.25">
      <c r="A856" s="2">
        <v>42309</v>
      </c>
      <c r="B856">
        <v>2015</v>
      </c>
      <c r="C856">
        <v>11</v>
      </c>
      <c r="D856" s="1" t="s">
        <v>95</v>
      </c>
      <c r="E856">
        <v>15.38</v>
      </c>
      <c r="F856">
        <v>19.02</v>
      </c>
      <c r="G856">
        <v>80.900000000000006</v>
      </c>
    </row>
    <row r="857" spans="1:7" x14ac:dyDescent="0.25">
      <c r="A857" s="2">
        <v>42339</v>
      </c>
      <c r="B857">
        <v>2015</v>
      </c>
      <c r="C857">
        <v>12</v>
      </c>
      <c r="D857" s="1" t="s">
        <v>95</v>
      </c>
      <c r="E857">
        <v>16.78</v>
      </c>
      <c r="F857">
        <v>20.62</v>
      </c>
      <c r="G857">
        <v>81.400000000000006</v>
      </c>
    </row>
    <row r="858" spans="1:7" x14ac:dyDescent="0.25">
      <c r="A858" s="2">
        <v>42370</v>
      </c>
      <c r="B858">
        <v>2016</v>
      </c>
      <c r="C858">
        <v>1</v>
      </c>
      <c r="D858" s="1" t="s">
        <v>95</v>
      </c>
      <c r="E858">
        <v>17.059999999999999</v>
      </c>
      <c r="F858">
        <v>20.58</v>
      </c>
      <c r="G858">
        <v>82.9</v>
      </c>
    </row>
    <row r="859" spans="1:7" x14ac:dyDescent="0.25">
      <c r="A859" s="2">
        <v>42401</v>
      </c>
      <c r="B859">
        <v>2016</v>
      </c>
      <c r="C859">
        <v>2</v>
      </c>
      <c r="D859" s="1" t="s">
        <v>95</v>
      </c>
      <c r="E859">
        <v>16.22</v>
      </c>
      <c r="F859">
        <v>19.55</v>
      </c>
      <c r="G859">
        <v>83</v>
      </c>
    </row>
    <row r="860" spans="1:7" x14ac:dyDescent="0.25">
      <c r="A860" s="2">
        <v>42430</v>
      </c>
      <c r="B860">
        <v>2016</v>
      </c>
      <c r="C860">
        <v>3</v>
      </c>
      <c r="D860" s="1" t="s">
        <v>95</v>
      </c>
      <c r="E860">
        <v>16.079999999999998</v>
      </c>
      <c r="F860">
        <v>19.13</v>
      </c>
      <c r="G860">
        <v>84</v>
      </c>
    </row>
    <row r="861" spans="1:7" x14ac:dyDescent="0.25">
      <c r="A861" s="2">
        <v>42461</v>
      </c>
      <c r="B861">
        <v>2016</v>
      </c>
      <c r="C861">
        <v>4</v>
      </c>
      <c r="D861" s="1" t="s">
        <v>95</v>
      </c>
      <c r="E861">
        <v>15</v>
      </c>
      <c r="F861">
        <v>18.28</v>
      </c>
      <c r="G861">
        <v>82.1</v>
      </c>
    </row>
    <row r="862" spans="1:7" x14ac:dyDescent="0.25">
      <c r="A862" s="2">
        <v>42491</v>
      </c>
      <c r="B862">
        <v>2016</v>
      </c>
      <c r="C862">
        <v>5</v>
      </c>
      <c r="D862" s="1" t="s">
        <v>95</v>
      </c>
      <c r="E862">
        <v>14.54</v>
      </c>
      <c r="F862">
        <v>17.43</v>
      </c>
      <c r="G862">
        <v>83.4</v>
      </c>
    </row>
    <row r="863" spans="1:7" x14ac:dyDescent="0.25">
      <c r="A863" s="2">
        <v>42522</v>
      </c>
      <c r="B863">
        <v>2016</v>
      </c>
      <c r="C863">
        <v>6</v>
      </c>
      <c r="D863" s="1" t="s">
        <v>95</v>
      </c>
      <c r="E863">
        <v>13.66</v>
      </c>
      <c r="F863">
        <v>16.25</v>
      </c>
      <c r="G863">
        <v>84</v>
      </c>
    </row>
    <row r="864" spans="1:7" x14ac:dyDescent="0.25">
      <c r="A864" s="2">
        <v>42552</v>
      </c>
      <c r="B864">
        <v>2016</v>
      </c>
      <c r="C864">
        <v>7</v>
      </c>
      <c r="D864" s="1" t="s">
        <v>95</v>
      </c>
      <c r="E864">
        <v>14.15</v>
      </c>
      <c r="F864">
        <v>17.82</v>
      </c>
      <c r="G864">
        <v>79.400000000000006</v>
      </c>
    </row>
    <row r="865" spans="1:7" x14ac:dyDescent="0.25">
      <c r="A865" s="2">
        <v>42583</v>
      </c>
      <c r="B865">
        <v>2016</v>
      </c>
      <c r="C865">
        <v>8</v>
      </c>
      <c r="D865" s="1" t="s">
        <v>95</v>
      </c>
      <c r="E865">
        <v>14.76</v>
      </c>
      <c r="F865">
        <v>17.07</v>
      </c>
      <c r="G865">
        <v>86.5</v>
      </c>
    </row>
    <row r="866" spans="1:7" x14ac:dyDescent="0.25">
      <c r="A866" s="2">
        <v>42614</v>
      </c>
      <c r="B866">
        <v>2016</v>
      </c>
      <c r="C866">
        <v>9</v>
      </c>
      <c r="D866" s="1" t="s">
        <v>95</v>
      </c>
      <c r="E866">
        <v>15.34</v>
      </c>
      <c r="F866">
        <v>18.079999999999998</v>
      </c>
      <c r="G866">
        <v>84.9</v>
      </c>
    </row>
    <row r="867" spans="1:7" x14ac:dyDescent="0.25">
      <c r="A867" s="2">
        <v>42644</v>
      </c>
      <c r="B867">
        <v>2016</v>
      </c>
      <c r="C867">
        <v>10</v>
      </c>
      <c r="D867" s="1" t="s">
        <v>95</v>
      </c>
      <c r="E867">
        <v>15.79</v>
      </c>
      <c r="F867">
        <v>20.07</v>
      </c>
      <c r="G867">
        <v>78.7</v>
      </c>
    </row>
    <row r="868" spans="1:7" x14ac:dyDescent="0.25">
      <c r="A868" s="2">
        <v>42675</v>
      </c>
      <c r="B868">
        <v>2016</v>
      </c>
      <c r="C868">
        <v>11</v>
      </c>
      <c r="D868" s="1" t="s">
        <v>95</v>
      </c>
      <c r="E868">
        <v>15.73</v>
      </c>
      <c r="F868">
        <v>19.059999999999999</v>
      </c>
      <c r="G868">
        <v>82.5</v>
      </c>
    </row>
    <row r="869" spans="1:7" x14ac:dyDescent="0.25">
      <c r="A869" s="2">
        <v>42705</v>
      </c>
      <c r="B869">
        <v>2016</v>
      </c>
      <c r="C869">
        <v>12</v>
      </c>
      <c r="D869" s="1" t="s">
        <v>95</v>
      </c>
      <c r="E869">
        <v>16.989999999999998</v>
      </c>
      <c r="F869">
        <v>21.19</v>
      </c>
      <c r="G869">
        <v>80.2</v>
      </c>
    </row>
    <row r="870" spans="1:7" x14ac:dyDescent="0.25">
      <c r="A870" s="2">
        <v>42736</v>
      </c>
      <c r="B870">
        <v>2017</v>
      </c>
      <c r="C870">
        <v>1</v>
      </c>
      <c r="D870" s="1" t="s">
        <v>95</v>
      </c>
      <c r="E870">
        <v>17.57</v>
      </c>
      <c r="F870">
        <v>21.11</v>
      </c>
      <c r="G870">
        <v>83.2</v>
      </c>
    </row>
    <row r="871" spans="1:7" x14ac:dyDescent="0.25">
      <c r="A871" s="2">
        <v>42767</v>
      </c>
      <c r="B871">
        <v>2017</v>
      </c>
      <c r="C871">
        <v>2</v>
      </c>
      <c r="D871" s="1" t="s">
        <v>95</v>
      </c>
      <c r="E871">
        <v>16.73</v>
      </c>
      <c r="F871">
        <v>20.63</v>
      </c>
      <c r="G871">
        <v>81.099999999999994</v>
      </c>
    </row>
    <row r="872" spans="1:7" x14ac:dyDescent="0.25">
      <c r="A872" s="2">
        <v>42795</v>
      </c>
      <c r="B872">
        <v>2017</v>
      </c>
      <c r="C872">
        <v>3</v>
      </c>
      <c r="D872" s="1" t="s">
        <v>95</v>
      </c>
      <c r="E872">
        <v>17.760000000000002</v>
      </c>
      <c r="F872">
        <v>22.24</v>
      </c>
      <c r="G872">
        <v>79.8</v>
      </c>
    </row>
    <row r="873" spans="1:7" x14ac:dyDescent="0.25">
      <c r="A873" s="2">
        <v>42826</v>
      </c>
      <c r="B873">
        <v>2017</v>
      </c>
      <c r="C873">
        <v>4</v>
      </c>
      <c r="D873" s="1" t="s">
        <v>95</v>
      </c>
      <c r="E873">
        <v>16.68</v>
      </c>
      <c r="F873">
        <v>20.58</v>
      </c>
      <c r="G873">
        <v>81</v>
      </c>
    </row>
    <row r="874" spans="1:7" x14ac:dyDescent="0.25">
      <c r="A874" s="2">
        <v>42856</v>
      </c>
      <c r="B874">
        <v>2017</v>
      </c>
      <c r="C874">
        <v>5</v>
      </c>
      <c r="D874" s="1" t="s">
        <v>95</v>
      </c>
      <c r="E874">
        <v>15.77</v>
      </c>
      <c r="F874">
        <v>18.73</v>
      </c>
      <c r="G874">
        <v>84.2</v>
      </c>
    </row>
    <row r="875" spans="1:7" x14ac:dyDescent="0.25">
      <c r="A875" s="2">
        <v>42887</v>
      </c>
      <c r="B875">
        <v>2017</v>
      </c>
      <c r="C875">
        <v>6</v>
      </c>
      <c r="D875" s="1" t="s">
        <v>95</v>
      </c>
      <c r="E875">
        <v>15.33</v>
      </c>
      <c r="F875">
        <v>18.29</v>
      </c>
      <c r="G875">
        <v>83.8</v>
      </c>
    </row>
    <row r="876" spans="1:7" x14ac:dyDescent="0.25">
      <c r="A876" s="2">
        <v>42917</v>
      </c>
      <c r="B876">
        <v>2017</v>
      </c>
      <c r="C876">
        <v>7</v>
      </c>
      <c r="D876" s="1" t="s">
        <v>95</v>
      </c>
      <c r="E876">
        <v>14.35</v>
      </c>
      <c r="F876">
        <v>17.03</v>
      </c>
      <c r="G876">
        <v>84.2</v>
      </c>
    </row>
    <row r="877" spans="1:7" x14ac:dyDescent="0.25">
      <c r="A877" s="2">
        <v>42948</v>
      </c>
      <c r="B877">
        <v>2017</v>
      </c>
      <c r="C877">
        <v>8</v>
      </c>
      <c r="D877" s="1" t="s">
        <v>95</v>
      </c>
      <c r="E877">
        <v>14.76</v>
      </c>
      <c r="F877">
        <v>17.89</v>
      </c>
      <c r="G877">
        <v>82.5</v>
      </c>
    </row>
    <row r="878" spans="1:7" x14ac:dyDescent="0.25">
      <c r="A878" s="2">
        <v>42979</v>
      </c>
      <c r="B878">
        <v>2017</v>
      </c>
      <c r="C878">
        <v>9</v>
      </c>
      <c r="D878" s="1" t="s">
        <v>95</v>
      </c>
      <c r="E878">
        <v>15.96</v>
      </c>
      <c r="F878">
        <v>19.23</v>
      </c>
      <c r="G878">
        <v>83</v>
      </c>
    </row>
    <row r="879" spans="1:7" x14ac:dyDescent="0.25">
      <c r="A879" s="2">
        <v>43009</v>
      </c>
      <c r="B879">
        <v>2017</v>
      </c>
      <c r="C879">
        <v>10</v>
      </c>
      <c r="D879" s="1" t="s">
        <v>95</v>
      </c>
      <c r="E879">
        <v>16.920000000000002</v>
      </c>
      <c r="F879">
        <v>21.07</v>
      </c>
      <c r="G879">
        <v>80.3</v>
      </c>
    </row>
    <row r="880" spans="1:7" x14ac:dyDescent="0.25">
      <c r="A880" s="2">
        <v>43040</v>
      </c>
      <c r="B880">
        <v>2017</v>
      </c>
      <c r="C880">
        <v>11</v>
      </c>
      <c r="D880" s="1" t="s">
        <v>95</v>
      </c>
      <c r="E880">
        <v>16.97</v>
      </c>
      <c r="F880">
        <v>20.27</v>
      </c>
      <c r="G880">
        <v>83.7</v>
      </c>
    </row>
    <row r="881" spans="1:7" x14ac:dyDescent="0.25">
      <c r="A881" s="2">
        <v>43070</v>
      </c>
      <c r="B881">
        <v>2017</v>
      </c>
      <c r="C881">
        <v>12</v>
      </c>
      <c r="D881" s="1" t="s">
        <v>95</v>
      </c>
      <c r="E881">
        <v>18.48</v>
      </c>
      <c r="F881">
        <v>21.93</v>
      </c>
      <c r="G881">
        <v>84.3</v>
      </c>
    </row>
    <row r="882" spans="1:7" x14ac:dyDescent="0.25">
      <c r="A882" s="2">
        <v>43101</v>
      </c>
      <c r="B882">
        <v>2018</v>
      </c>
      <c r="C882">
        <v>1</v>
      </c>
      <c r="D882" s="1" t="s">
        <v>95</v>
      </c>
      <c r="E882">
        <v>18.670000000000002</v>
      </c>
      <c r="F882">
        <v>23.58</v>
      </c>
      <c r="G882">
        <v>79.2</v>
      </c>
    </row>
    <row r="883" spans="1:7" x14ac:dyDescent="0.25">
      <c r="A883" s="2">
        <v>43132</v>
      </c>
      <c r="B883">
        <v>2018</v>
      </c>
      <c r="C883">
        <v>2</v>
      </c>
      <c r="D883" s="1" t="s">
        <v>95</v>
      </c>
      <c r="E883">
        <v>19.11</v>
      </c>
      <c r="F883">
        <v>23.52</v>
      </c>
      <c r="G883">
        <v>81.3</v>
      </c>
    </row>
    <row r="884" spans="1:7" x14ac:dyDescent="0.25">
      <c r="A884" s="2">
        <v>43160</v>
      </c>
      <c r="B884">
        <v>2018</v>
      </c>
      <c r="C884">
        <v>3</v>
      </c>
      <c r="D884" s="1" t="s">
        <v>95</v>
      </c>
      <c r="E884">
        <v>18.21</v>
      </c>
      <c r="F884">
        <v>22.56</v>
      </c>
      <c r="G884">
        <v>80.7</v>
      </c>
    </row>
    <row r="885" spans="1:7" x14ac:dyDescent="0.25">
      <c r="A885" s="2">
        <v>43191</v>
      </c>
      <c r="B885">
        <v>2018</v>
      </c>
      <c r="C885">
        <v>4</v>
      </c>
      <c r="D885" s="1" t="s">
        <v>95</v>
      </c>
      <c r="E885">
        <v>18.12</v>
      </c>
      <c r="F885">
        <v>22.58</v>
      </c>
      <c r="G885">
        <v>80.2</v>
      </c>
    </row>
    <row r="886" spans="1:7" x14ac:dyDescent="0.25">
      <c r="A886" s="2">
        <v>43221</v>
      </c>
      <c r="B886">
        <v>2018</v>
      </c>
      <c r="C886">
        <v>5</v>
      </c>
      <c r="D886" s="1" t="s">
        <v>95</v>
      </c>
      <c r="E886">
        <v>16.3</v>
      </c>
      <c r="F886">
        <v>19.829999999999998</v>
      </c>
      <c r="G886">
        <v>82.2</v>
      </c>
    </row>
    <row r="887" spans="1:7" x14ac:dyDescent="0.25">
      <c r="A887" s="2">
        <v>43252</v>
      </c>
      <c r="B887">
        <v>2018</v>
      </c>
      <c r="C887">
        <v>6</v>
      </c>
      <c r="D887" s="1" t="s">
        <v>95</v>
      </c>
      <c r="E887">
        <v>15.4</v>
      </c>
      <c r="F887">
        <v>18.62</v>
      </c>
      <c r="G887">
        <v>82.7</v>
      </c>
    </row>
    <row r="888" spans="1:7" x14ac:dyDescent="0.25">
      <c r="A888" s="2">
        <v>43282</v>
      </c>
      <c r="B888">
        <v>2018</v>
      </c>
      <c r="C888">
        <v>7</v>
      </c>
      <c r="D888" s="1" t="s">
        <v>95</v>
      </c>
      <c r="E888">
        <v>16.53</v>
      </c>
      <c r="F888">
        <v>20.399999999999999</v>
      </c>
      <c r="G888">
        <v>81</v>
      </c>
    </row>
    <row r="889" spans="1:7" x14ac:dyDescent="0.25">
      <c r="A889" s="2">
        <v>43313</v>
      </c>
      <c r="B889">
        <v>2018</v>
      </c>
      <c r="C889">
        <v>8</v>
      </c>
      <c r="D889" s="1" t="s">
        <v>95</v>
      </c>
      <c r="E889">
        <v>16.25</v>
      </c>
      <c r="F889">
        <v>21.24</v>
      </c>
      <c r="G889">
        <v>76.5</v>
      </c>
    </row>
    <row r="890" spans="1:7" x14ac:dyDescent="0.25">
      <c r="A890" s="2">
        <v>43344</v>
      </c>
      <c r="B890">
        <v>2018</v>
      </c>
      <c r="C890">
        <v>9</v>
      </c>
      <c r="D890" s="1" t="s">
        <v>95</v>
      </c>
      <c r="E890">
        <v>16.760000000000002</v>
      </c>
      <c r="F890">
        <v>20.6</v>
      </c>
      <c r="G890">
        <v>81.400000000000006</v>
      </c>
    </row>
    <row r="891" spans="1:7" x14ac:dyDescent="0.25">
      <c r="A891" s="2">
        <v>43374</v>
      </c>
      <c r="B891">
        <v>2018</v>
      </c>
      <c r="C891">
        <v>10</v>
      </c>
      <c r="D891" s="1" t="s">
        <v>95</v>
      </c>
      <c r="E891">
        <v>17.32</v>
      </c>
      <c r="F891">
        <v>20.58</v>
      </c>
      <c r="G891">
        <v>84.2</v>
      </c>
    </row>
    <row r="892" spans="1:7" x14ac:dyDescent="0.25">
      <c r="A892" s="2">
        <v>43405</v>
      </c>
      <c r="B892">
        <v>2018</v>
      </c>
      <c r="C892">
        <v>11</v>
      </c>
      <c r="D892" s="1" t="s">
        <v>95</v>
      </c>
      <c r="E892">
        <v>18.54</v>
      </c>
      <c r="F892">
        <v>22.71</v>
      </c>
      <c r="G892">
        <v>81.599999999999994</v>
      </c>
    </row>
    <row r="893" spans="1:7" x14ac:dyDescent="0.25">
      <c r="A893" s="2">
        <v>43435</v>
      </c>
      <c r="B893">
        <v>2018</v>
      </c>
      <c r="C893">
        <v>12</v>
      </c>
      <c r="D893" s="1" t="s">
        <v>95</v>
      </c>
      <c r="E893">
        <v>19.25</v>
      </c>
      <c r="F893">
        <v>24.63</v>
      </c>
      <c r="G893">
        <v>78.2</v>
      </c>
    </row>
    <row r="894" spans="1:7" x14ac:dyDescent="0.25">
      <c r="A894" s="2">
        <v>43466</v>
      </c>
      <c r="B894">
        <v>2019</v>
      </c>
      <c r="C894">
        <v>1</v>
      </c>
      <c r="D894" s="1" t="s">
        <v>95</v>
      </c>
      <c r="E894">
        <v>19.14</v>
      </c>
      <c r="F894">
        <v>22.81</v>
      </c>
      <c r="G894">
        <v>83.9</v>
      </c>
    </row>
    <row r="895" spans="1:7" x14ac:dyDescent="0.25">
      <c r="A895" s="2">
        <v>43497</v>
      </c>
      <c r="B895">
        <v>2019</v>
      </c>
      <c r="C895">
        <v>2</v>
      </c>
      <c r="D895" s="1" t="s">
        <v>95</v>
      </c>
      <c r="E895">
        <v>17.420000000000002</v>
      </c>
      <c r="F895">
        <v>21.65</v>
      </c>
      <c r="G895">
        <v>80.5</v>
      </c>
    </row>
    <row r="896" spans="1:7" x14ac:dyDescent="0.25">
      <c r="A896" s="2">
        <v>43525</v>
      </c>
      <c r="B896">
        <v>2019</v>
      </c>
      <c r="C896">
        <v>3</v>
      </c>
      <c r="D896" s="1" t="s">
        <v>95</v>
      </c>
      <c r="E896">
        <v>16.77</v>
      </c>
      <c r="F896">
        <v>19.62</v>
      </c>
      <c r="G896">
        <v>85.5</v>
      </c>
    </row>
    <row r="897" spans="1:7" x14ac:dyDescent="0.25">
      <c r="A897" s="2">
        <v>43556</v>
      </c>
      <c r="B897">
        <v>2019</v>
      </c>
      <c r="C897">
        <v>4</v>
      </c>
      <c r="D897" s="1" t="s">
        <v>95</v>
      </c>
      <c r="E897">
        <v>15.61</v>
      </c>
      <c r="F897">
        <v>19.29</v>
      </c>
      <c r="G897">
        <v>80.900000000000006</v>
      </c>
    </row>
    <row r="898" spans="1:7" x14ac:dyDescent="0.25">
      <c r="A898" s="2">
        <v>43586</v>
      </c>
      <c r="B898">
        <v>2019</v>
      </c>
      <c r="C898">
        <v>5</v>
      </c>
      <c r="D898" s="1" t="s">
        <v>95</v>
      </c>
      <c r="E898">
        <v>14.16</v>
      </c>
      <c r="F898">
        <v>17.59</v>
      </c>
      <c r="G898">
        <v>80.5</v>
      </c>
    </row>
    <row r="899" spans="1:7" x14ac:dyDescent="0.25">
      <c r="A899" s="2">
        <v>43617</v>
      </c>
      <c r="B899">
        <v>2019</v>
      </c>
      <c r="C899">
        <v>6</v>
      </c>
      <c r="D899" s="1" t="s">
        <v>95</v>
      </c>
      <c r="E899">
        <v>12.63</v>
      </c>
      <c r="F899">
        <v>15.93</v>
      </c>
      <c r="G899">
        <v>79.3</v>
      </c>
    </row>
    <row r="900" spans="1:7" x14ac:dyDescent="0.25">
      <c r="A900" s="2">
        <v>43647</v>
      </c>
      <c r="B900">
        <v>2019</v>
      </c>
      <c r="C900">
        <v>7</v>
      </c>
      <c r="D900" s="1" t="s">
        <v>95</v>
      </c>
      <c r="E900">
        <v>11.62</v>
      </c>
      <c r="F900">
        <v>14.31</v>
      </c>
      <c r="G900">
        <v>81.2</v>
      </c>
    </row>
    <row r="901" spans="1:7" x14ac:dyDescent="0.25">
      <c r="A901" s="2">
        <v>43678</v>
      </c>
      <c r="B901">
        <v>2019</v>
      </c>
      <c r="C901">
        <v>8</v>
      </c>
      <c r="D901" s="1" t="s">
        <v>95</v>
      </c>
      <c r="E901">
        <v>10.26</v>
      </c>
      <c r="F901">
        <v>12.58</v>
      </c>
      <c r="G901">
        <v>81.599999999999994</v>
      </c>
    </row>
    <row r="902" spans="1:7" x14ac:dyDescent="0.25">
      <c r="A902" s="2">
        <v>43709</v>
      </c>
      <c r="B902">
        <v>2019</v>
      </c>
      <c r="C902">
        <v>9</v>
      </c>
      <c r="D902" s="1" t="s">
        <v>95</v>
      </c>
      <c r="E902">
        <v>10.220000000000001</v>
      </c>
      <c r="F902">
        <v>12.61</v>
      </c>
      <c r="G902">
        <v>81</v>
      </c>
    </row>
    <row r="903" spans="1:7" x14ac:dyDescent="0.25">
      <c r="A903" s="2">
        <v>43739</v>
      </c>
      <c r="B903">
        <v>2019</v>
      </c>
      <c r="C903">
        <v>10</v>
      </c>
      <c r="D903" s="1" t="s">
        <v>95</v>
      </c>
      <c r="E903">
        <v>9.91</v>
      </c>
      <c r="F903">
        <v>12.26</v>
      </c>
      <c r="G903">
        <v>80.8</v>
      </c>
    </row>
    <row r="904" spans="1:7" x14ac:dyDescent="0.25">
      <c r="A904" s="2">
        <v>43770</v>
      </c>
      <c r="B904">
        <v>2019</v>
      </c>
      <c r="C904">
        <v>11</v>
      </c>
      <c r="D904" s="1" t="s">
        <v>95</v>
      </c>
      <c r="E904">
        <v>9.4499999999999993</v>
      </c>
      <c r="F904">
        <v>11.4</v>
      </c>
      <c r="G904">
        <v>82.9</v>
      </c>
    </row>
    <row r="905" spans="1:7" x14ac:dyDescent="0.25">
      <c r="A905" s="2">
        <v>43800</v>
      </c>
      <c r="B905">
        <v>2019</v>
      </c>
      <c r="C905">
        <v>12</v>
      </c>
      <c r="D905" s="1" t="s">
        <v>95</v>
      </c>
      <c r="E905">
        <v>8.59</v>
      </c>
      <c r="F905">
        <v>10.59</v>
      </c>
      <c r="G905">
        <v>81.099999999999994</v>
      </c>
    </row>
    <row r="906" spans="1:7" x14ac:dyDescent="0.25">
      <c r="A906" s="2">
        <v>43831</v>
      </c>
      <c r="B906">
        <v>2020</v>
      </c>
      <c r="C906">
        <v>1</v>
      </c>
      <c r="D906" s="1" t="s">
        <v>95</v>
      </c>
      <c r="E906">
        <v>7.74</v>
      </c>
      <c r="F906">
        <v>9.31</v>
      </c>
      <c r="G906">
        <v>83.1</v>
      </c>
    </row>
    <row r="907" spans="1:7" x14ac:dyDescent="0.25">
      <c r="A907" s="2">
        <v>43862</v>
      </c>
      <c r="B907">
        <v>2020</v>
      </c>
      <c r="C907">
        <v>2</v>
      </c>
      <c r="D907" s="1" t="s">
        <v>95</v>
      </c>
      <c r="E907">
        <v>8.3800000000000008</v>
      </c>
      <c r="F907">
        <v>9.99</v>
      </c>
      <c r="G907">
        <v>83.9</v>
      </c>
    </row>
    <row r="908" spans="1:7" x14ac:dyDescent="0.25">
      <c r="A908" s="2">
        <v>43891</v>
      </c>
      <c r="B908">
        <v>2020</v>
      </c>
      <c r="C908">
        <v>3</v>
      </c>
      <c r="D908" s="1" t="s">
        <v>95</v>
      </c>
      <c r="E908">
        <v>1.22</v>
      </c>
      <c r="F908">
        <v>2.21</v>
      </c>
      <c r="G908">
        <v>55</v>
      </c>
    </row>
    <row r="909" spans="1:7" x14ac:dyDescent="0.25">
      <c r="A909" s="2">
        <v>43922</v>
      </c>
      <c r="B909">
        <v>2020</v>
      </c>
      <c r="C909">
        <v>4</v>
      </c>
      <c r="D909" s="1" t="s">
        <v>95</v>
      </c>
      <c r="E909">
        <v>1.18</v>
      </c>
      <c r="F909">
        <v>2.15</v>
      </c>
      <c r="G909">
        <v>55</v>
      </c>
    </row>
    <row r="910" spans="1:7" x14ac:dyDescent="0.25">
      <c r="A910" s="2">
        <v>43952</v>
      </c>
      <c r="B910">
        <v>2020</v>
      </c>
      <c r="C910">
        <v>5</v>
      </c>
      <c r="D910" s="1" t="s">
        <v>95</v>
      </c>
      <c r="E910">
        <v>1.1599999999999999</v>
      </c>
      <c r="F910">
        <v>2.12</v>
      </c>
      <c r="G910">
        <v>55</v>
      </c>
    </row>
    <row r="911" spans="1:7" x14ac:dyDescent="0.25">
      <c r="A911" s="2">
        <v>43983</v>
      </c>
      <c r="B911">
        <v>2020</v>
      </c>
      <c r="C911">
        <v>6</v>
      </c>
      <c r="D911" s="1" t="s">
        <v>95</v>
      </c>
      <c r="E911">
        <v>1.1200000000000001</v>
      </c>
      <c r="F911">
        <v>2.0299999999999998</v>
      </c>
      <c r="G911">
        <v>55</v>
      </c>
    </row>
    <row r="912" spans="1:7" x14ac:dyDescent="0.25">
      <c r="A912" s="2">
        <v>44013</v>
      </c>
      <c r="B912">
        <v>2020</v>
      </c>
      <c r="C912">
        <v>7</v>
      </c>
      <c r="D912" s="1" t="s">
        <v>95</v>
      </c>
      <c r="E912">
        <v>7.8</v>
      </c>
      <c r="F912">
        <v>14.18</v>
      </c>
      <c r="G912">
        <v>55</v>
      </c>
    </row>
    <row r="913" spans="1:7" x14ac:dyDescent="0.25">
      <c r="A913" s="2">
        <v>44044</v>
      </c>
      <c r="B913">
        <v>2020</v>
      </c>
      <c r="C913">
        <v>8</v>
      </c>
      <c r="D913" s="1" t="s">
        <v>95</v>
      </c>
      <c r="E913">
        <v>2.81</v>
      </c>
      <c r="F913">
        <v>5.1100000000000003</v>
      </c>
      <c r="G913">
        <v>55</v>
      </c>
    </row>
    <row r="914" spans="1:7" x14ac:dyDescent="0.25">
      <c r="A914" s="2">
        <v>44075</v>
      </c>
      <c r="B914">
        <v>2020</v>
      </c>
      <c r="C914">
        <v>9</v>
      </c>
      <c r="D914" s="1" t="s">
        <v>95</v>
      </c>
      <c r="E914">
        <v>3.07</v>
      </c>
      <c r="F914">
        <v>5.58</v>
      </c>
      <c r="G914">
        <v>55</v>
      </c>
    </row>
    <row r="915" spans="1:7" x14ac:dyDescent="0.25">
      <c r="A915" s="2">
        <v>44105</v>
      </c>
      <c r="B915">
        <v>2020</v>
      </c>
      <c r="C915">
        <v>10</v>
      </c>
      <c r="D915" s="1" t="s">
        <v>95</v>
      </c>
      <c r="E915">
        <v>3.17</v>
      </c>
      <c r="F915">
        <v>5.77</v>
      </c>
      <c r="G915">
        <v>55</v>
      </c>
    </row>
    <row r="916" spans="1:7" x14ac:dyDescent="0.25">
      <c r="A916" s="2">
        <v>44136</v>
      </c>
      <c r="B916">
        <v>2020</v>
      </c>
      <c r="C916">
        <v>11</v>
      </c>
      <c r="D916" s="1" t="s">
        <v>95</v>
      </c>
      <c r="E916">
        <v>3.57</v>
      </c>
      <c r="F916">
        <v>6.5</v>
      </c>
      <c r="G916">
        <v>55</v>
      </c>
    </row>
    <row r="917" spans="1:7" x14ac:dyDescent="0.25">
      <c r="A917" s="2">
        <v>44166</v>
      </c>
      <c r="B917">
        <v>2020</v>
      </c>
      <c r="C917">
        <v>12</v>
      </c>
      <c r="D917" s="1" t="s">
        <v>95</v>
      </c>
      <c r="E917">
        <v>3.67</v>
      </c>
      <c r="F917">
        <v>6.68</v>
      </c>
      <c r="G917">
        <v>55</v>
      </c>
    </row>
    <row r="918" spans="1:7" x14ac:dyDescent="0.25">
      <c r="A918" s="2">
        <v>44197</v>
      </c>
      <c r="B918">
        <v>2021</v>
      </c>
      <c r="C918">
        <v>1</v>
      </c>
      <c r="D918" s="1" t="s">
        <v>95</v>
      </c>
      <c r="E918">
        <v>11.26</v>
      </c>
      <c r="F918">
        <v>13.43</v>
      </c>
      <c r="G918">
        <v>83.8</v>
      </c>
    </row>
    <row r="919" spans="1:7" x14ac:dyDescent="0.25">
      <c r="A919" s="2">
        <v>44228</v>
      </c>
      <c r="B919">
        <v>2021</v>
      </c>
      <c r="C919">
        <v>2</v>
      </c>
      <c r="D919" s="1" t="s">
        <v>95</v>
      </c>
      <c r="E919">
        <v>5.05</v>
      </c>
      <c r="F919">
        <v>6.08</v>
      </c>
      <c r="G919">
        <v>83.2</v>
      </c>
    </row>
    <row r="920" spans="1:7" x14ac:dyDescent="0.25">
      <c r="A920" s="2">
        <v>44256</v>
      </c>
      <c r="B920">
        <v>2021</v>
      </c>
      <c r="C920">
        <v>3</v>
      </c>
      <c r="D920" s="1" t="s">
        <v>95</v>
      </c>
      <c r="E920">
        <v>4.97</v>
      </c>
      <c r="F920">
        <v>6.16</v>
      </c>
      <c r="G920">
        <v>80.7</v>
      </c>
    </row>
    <row r="921" spans="1:7" x14ac:dyDescent="0.25">
      <c r="A921" s="2">
        <v>44287</v>
      </c>
      <c r="B921">
        <v>2021</v>
      </c>
      <c r="C921">
        <v>4</v>
      </c>
      <c r="D921" s="1" t="s">
        <v>95</v>
      </c>
      <c r="E921">
        <v>4.8</v>
      </c>
      <c r="F921">
        <v>5.85</v>
      </c>
      <c r="G921">
        <v>82</v>
      </c>
    </row>
    <row r="922" spans="1:7" x14ac:dyDescent="0.25">
      <c r="A922" s="2">
        <v>44317</v>
      </c>
      <c r="B922">
        <v>2021</v>
      </c>
      <c r="C922">
        <v>5</v>
      </c>
      <c r="D922" s="1" t="s">
        <v>95</v>
      </c>
      <c r="E922">
        <v>4.7</v>
      </c>
      <c r="F922">
        <v>6</v>
      </c>
      <c r="G922">
        <v>78.2</v>
      </c>
    </row>
    <row r="923" spans="1:7" x14ac:dyDescent="0.25">
      <c r="A923" s="2">
        <v>44348</v>
      </c>
      <c r="B923">
        <v>2021</v>
      </c>
      <c r="C923">
        <v>6</v>
      </c>
      <c r="D923" s="1" t="s">
        <v>95</v>
      </c>
      <c r="E923">
        <v>4.57</v>
      </c>
      <c r="F923">
        <v>5.56</v>
      </c>
      <c r="G923">
        <v>82.1</v>
      </c>
    </row>
    <row r="924" spans="1:7" x14ac:dyDescent="0.25">
      <c r="A924" s="2">
        <v>44378</v>
      </c>
      <c r="B924">
        <v>2021</v>
      </c>
      <c r="C924">
        <v>7</v>
      </c>
      <c r="D924" s="1" t="s">
        <v>95</v>
      </c>
      <c r="E924">
        <v>10.26</v>
      </c>
      <c r="F924">
        <v>12.59</v>
      </c>
      <c r="G924">
        <v>81.5</v>
      </c>
    </row>
    <row r="925" spans="1:7" x14ac:dyDescent="0.25">
      <c r="A925" s="2">
        <v>44409</v>
      </c>
      <c r="B925">
        <v>2021</v>
      </c>
      <c r="C925">
        <v>8</v>
      </c>
      <c r="D925" s="1" t="s">
        <v>95</v>
      </c>
      <c r="E925">
        <v>7.08</v>
      </c>
      <c r="F925">
        <v>8.8699999999999992</v>
      </c>
      <c r="G925">
        <v>79.8</v>
      </c>
    </row>
    <row r="926" spans="1:7" x14ac:dyDescent="0.25">
      <c r="A926" s="2">
        <v>44440</v>
      </c>
      <c r="B926">
        <v>2021</v>
      </c>
      <c r="C926">
        <v>9</v>
      </c>
      <c r="D926" s="1" t="s">
        <v>95</v>
      </c>
      <c r="E926">
        <v>7.06</v>
      </c>
      <c r="F926">
        <v>8.68</v>
      </c>
      <c r="G926">
        <v>81.3</v>
      </c>
    </row>
    <row r="927" spans="1:7" x14ac:dyDescent="0.25">
      <c r="A927" s="2">
        <v>44470</v>
      </c>
      <c r="B927">
        <v>2021</v>
      </c>
      <c r="C927">
        <v>10</v>
      </c>
      <c r="D927" s="1" t="s">
        <v>95</v>
      </c>
      <c r="E927">
        <v>8.15</v>
      </c>
      <c r="F927">
        <v>9.5399999999999991</v>
      </c>
      <c r="G927">
        <v>85.4</v>
      </c>
    </row>
    <row r="928" spans="1:7" x14ac:dyDescent="0.25">
      <c r="A928" s="2">
        <v>44501</v>
      </c>
      <c r="B928">
        <v>2021</v>
      </c>
      <c r="C928">
        <v>11</v>
      </c>
      <c r="D928" s="1" t="s">
        <v>95</v>
      </c>
      <c r="E928">
        <v>8.73</v>
      </c>
      <c r="F928">
        <v>11.05</v>
      </c>
      <c r="G928">
        <v>79.099999999999994</v>
      </c>
    </row>
    <row r="929" spans="1:7" x14ac:dyDescent="0.25">
      <c r="A929" s="2">
        <v>44531</v>
      </c>
      <c r="B929">
        <v>2021</v>
      </c>
      <c r="C929">
        <v>12</v>
      </c>
      <c r="D929" s="1" t="s">
        <v>95</v>
      </c>
      <c r="E929">
        <v>8.94</v>
      </c>
      <c r="F929">
        <v>10.84</v>
      </c>
      <c r="G929">
        <v>82.5</v>
      </c>
    </row>
    <row r="930" spans="1:7" x14ac:dyDescent="0.25">
      <c r="A930" s="2">
        <v>44562</v>
      </c>
      <c r="B930">
        <v>2022</v>
      </c>
      <c r="C930">
        <v>1</v>
      </c>
      <c r="D930" s="1" t="s">
        <v>95</v>
      </c>
      <c r="E930">
        <v>14.38</v>
      </c>
      <c r="F930">
        <v>17.3</v>
      </c>
      <c r="G930">
        <v>83.1</v>
      </c>
    </row>
    <row r="931" spans="1:7" x14ac:dyDescent="0.25">
      <c r="A931" s="2">
        <v>44593</v>
      </c>
      <c r="B931">
        <v>2022</v>
      </c>
      <c r="C931">
        <v>2</v>
      </c>
      <c r="D931" s="1" t="s">
        <v>95</v>
      </c>
      <c r="E931">
        <v>13.92</v>
      </c>
      <c r="F931">
        <v>16.95</v>
      </c>
      <c r="G931">
        <v>82.1</v>
      </c>
    </row>
    <row r="932" spans="1:7" x14ac:dyDescent="0.25">
      <c r="A932" s="2">
        <v>44621</v>
      </c>
      <c r="B932">
        <v>2022</v>
      </c>
      <c r="C932">
        <v>3</v>
      </c>
      <c r="D932" s="1" t="s">
        <v>95</v>
      </c>
      <c r="E932">
        <v>14.18</v>
      </c>
      <c r="F932">
        <v>16.95</v>
      </c>
      <c r="G932">
        <v>83.7</v>
      </c>
    </row>
    <row r="933" spans="1:7" x14ac:dyDescent="0.25">
      <c r="A933" s="2">
        <v>44652</v>
      </c>
      <c r="B933">
        <v>2022</v>
      </c>
      <c r="C933">
        <v>4</v>
      </c>
      <c r="D933" s="1" t="s">
        <v>95</v>
      </c>
      <c r="E933">
        <v>13.18</v>
      </c>
      <c r="F933">
        <v>16.21</v>
      </c>
      <c r="G933">
        <v>81.3</v>
      </c>
    </row>
    <row r="934" spans="1:7" x14ac:dyDescent="0.25">
      <c r="A934" s="2">
        <v>44682</v>
      </c>
      <c r="B934">
        <v>2022</v>
      </c>
      <c r="C934">
        <v>5</v>
      </c>
      <c r="D934" s="1" t="s">
        <v>95</v>
      </c>
      <c r="E934">
        <v>11.97</v>
      </c>
      <c r="F934">
        <v>14.82</v>
      </c>
      <c r="G934">
        <v>80.8</v>
      </c>
    </row>
    <row r="935" spans="1:7" x14ac:dyDescent="0.25">
      <c r="A935" s="2">
        <v>44713</v>
      </c>
      <c r="B935">
        <v>2022</v>
      </c>
      <c r="C935">
        <v>6</v>
      </c>
      <c r="D935" s="1" t="s">
        <v>95</v>
      </c>
      <c r="E935">
        <v>12.44</v>
      </c>
      <c r="F935">
        <v>15.56</v>
      </c>
      <c r="G935">
        <v>80</v>
      </c>
    </row>
    <row r="936" spans="1:7" x14ac:dyDescent="0.25">
      <c r="A936" s="2">
        <v>44743</v>
      </c>
      <c r="B936">
        <v>2022</v>
      </c>
      <c r="C936">
        <v>7</v>
      </c>
      <c r="D936" s="1" t="s">
        <v>95</v>
      </c>
      <c r="E936">
        <v>12.66</v>
      </c>
      <c r="F936">
        <v>15.46</v>
      </c>
      <c r="G936">
        <v>81.900000000000006</v>
      </c>
    </row>
    <row r="937" spans="1:7" x14ac:dyDescent="0.25">
      <c r="A937" s="2">
        <v>44774</v>
      </c>
      <c r="B937">
        <v>2022</v>
      </c>
      <c r="C937">
        <v>8</v>
      </c>
      <c r="D937" s="1" t="s">
        <v>95</v>
      </c>
      <c r="E937">
        <v>12.09</v>
      </c>
      <c r="F937">
        <v>14.67</v>
      </c>
      <c r="G937">
        <v>82.4</v>
      </c>
    </row>
    <row r="938" spans="1:7" x14ac:dyDescent="0.25">
      <c r="A938" s="2">
        <v>44805</v>
      </c>
      <c r="B938">
        <v>2022</v>
      </c>
      <c r="C938">
        <v>9</v>
      </c>
      <c r="D938" s="1" t="s">
        <v>95</v>
      </c>
      <c r="E938">
        <v>13.24</v>
      </c>
      <c r="F938">
        <v>15.96</v>
      </c>
      <c r="G938">
        <v>83</v>
      </c>
    </row>
    <row r="939" spans="1:7" x14ac:dyDescent="0.25">
      <c r="A939" s="2">
        <v>44835</v>
      </c>
      <c r="B939">
        <v>2022</v>
      </c>
      <c r="C939">
        <v>10</v>
      </c>
      <c r="D939" s="1" t="s">
        <v>95</v>
      </c>
      <c r="E939">
        <v>13.95</v>
      </c>
      <c r="F939">
        <v>17</v>
      </c>
      <c r="G939">
        <v>82.1</v>
      </c>
    </row>
    <row r="940" spans="1:7" x14ac:dyDescent="0.25">
      <c r="A940" s="2">
        <v>44866</v>
      </c>
      <c r="B940">
        <v>2022</v>
      </c>
      <c r="C940">
        <v>11</v>
      </c>
      <c r="D940" s="1" t="s">
        <v>95</v>
      </c>
      <c r="E940">
        <v>15.27</v>
      </c>
      <c r="F940">
        <v>18.48</v>
      </c>
      <c r="G940">
        <v>82.6</v>
      </c>
    </row>
    <row r="941" spans="1:7" x14ac:dyDescent="0.25">
      <c r="A941" s="2">
        <v>44896</v>
      </c>
      <c r="B941">
        <v>2022</v>
      </c>
      <c r="C941">
        <v>12</v>
      </c>
      <c r="D941" s="1" t="s">
        <v>95</v>
      </c>
      <c r="E941">
        <v>16.18</v>
      </c>
      <c r="F941">
        <v>19.850000000000001</v>
      </c>
      <c r="G941">
        <v>81.5</v>
      </c>
    </row>
    <row r="942" spans="1:7" x14ac:dyDescent="0.25">
      <c r="A942" s="2">
        <v>44927</v>
      </c>
      <c r="B942">
        <v>2023</v>
      </c>
      <c r="C942">
        <v>1</v>
      </c>
      <c r="D942" s="1" t="s">
        <v>95</v>
      </c>
      <c r="E942">
        <v>15.76</v>
      </c>
      <c r="F942">
        <v>19.93</v>
      </c>
      <c r="G942">
        <v>79</v>
      </c>
    </row>
    <row r="943" spans="1:7" x14ac:dyDescent="0.25">
      <c r="A943" s="2">
        <v>44958</v>
      </c>
      <c r="B943">
        <v>2023</v>
      </c>
      <c r="C943">
        <v>2</v>
      </c>
      <c r="D943" s="1" t="s">
        <v>95</v>
      </c>
      <c r="E943">
        <v>16.190000000000001</v>
      </c>
      <c r="F943">
        <v>19.75</v>
      </c>
      <c r="G943">
        <v>82</v>
      </c>
    </row>
    <row r="944" spans="1:7" x14ac:dyDescent="0.25">
      <c r="A944" s="2">
        <v>44986</v>
      </c>
      <c r="B944">
        <v>2023</v>
      </c>
      <c r="C944">
        <v>3</v>
      </c>
      <c r="D944" s="1" t="s">
        <v>95</v>
      </c>
      <c r="E944">
        <v>15.81</v>
      </c>
      <c r="F944">
        <v>18.989999999999998</v>
      </c>
      <c r="G944">
        <v>83.3</v>
      </c>
    </row>
    <row r="945" spans="1:7" x14ac:dyDescent="0.25">
      <c r="A945" s="2">
        <v>45017</v>
      </c>
      <c r="B945">
        <v>2023</v>
      </c>
      <c r="C945">
        <v>4</v>
      </c>
      <c r="D945" s="1" t="s">
        <v>95</v>
      </c>
      <c r="E945">
        <v>15.37</v>
      </c>
      <c r="F945">
        <v>19.2</v>
      </c>
      <c r="G945">
        <v>80.099999999999994</v>
      </c>
    </row>
    <row r="946" spans="1:7" x14ac:dyDescent="0.25">
      <c r="A946" s="2">
        <v>45047</v>
      </c>
      <c r="B946">
        <v>2023</v>
      </c>
      <c r="C946">
        <v>5</v>
      </c>
      <c r="D946" s="1" t="s">
        <v>95</v>
      </c>
      <c r="E946">
        <v>14.76</v>
      </c>
      <c r="F946">
        <v>17.899999999999999</v>
      </c>
      <c r="G946">
        <v>82.5</v>
      </c>
    </row>
    <row r="947" spans="1:7" x14ac:dyDescent="0.25">
      <c r="A947" s="2">
        <v>45078</v>
      </c>
      <c r="B947">
        <v>2023</v>
      </c>
      <c r="C947">
        <v>6</v>
      </c>
      <c r="D947" s="1" t="s">
        <v>95</v>
      </c>
      <c r="E947">
        <v>14.6</v>
      </c>
      <c r="F947">
        <v>17.03</v>
      </c>
      <c r="G947">
        <v>85.8</v>
      </c>
    </row>
    <row r="948" spans="1:7" x14ac:dyDescent="0.25">
      <c r="A948" s="2">
        <v>45108</v>
      </c>
      <c r="B948">
        <v>2023</v>
      </c>
      <c r="C948">
        <v>7</v>
      </c>
      <c r="D948" s="1" t="s">
        <v>95</v>
      </c>
      <c r="E948">
        <v>14.11</v>
      </c>
      <c r="F948">
        <v>17.239999999999998</v>
      </c>
      <c r="G948">
        <v>81.900000000000006</v>
      </c>
    </row>
    <row r="949" spans="1:7" x14ac:dyDescent="0.25">
      <c r="A949" s="2">
        <v>45139</v>
      </c>
      <c r="B949">
        <v>2023</v>
      </c>
      <c r="C949">
        <v>8</v>
      </c>
      <c r="D949" s="1" t="s">
        <v>95</v>
      </c>
      <c r="E949">
        <v>14.96</v>
      </c>
      <c r="F949">
        <v>18.25</v>
      </c>
      <c r="G949">
        <v>82</v>
      </c>
    </row>
    <row r="950" spans="1:7" x14ac:dyDescent="0.25">
      <c r="A950" s="2">
        <v>45170</v>
      </c>
      <c r="B950">
        <v>2023</v>
      </c>
      <c r="C950">
        <v>9</v>
      </c>
      <c r="D950" s="1" t="s">
        <v>95</v>
      </c>
      <c r="E950">
        <v>15.29</v>
      </c>
      <c r="F950">
        <v>19.37</v>
      </c>
      <c r="G950">
        <v>78.900000000000006</v>
      </c>
    </row>
    <row r="951" spans="1:7" x14ac:dyDescent="0.25">
      <c r="A951" s="2">
        <v>45200</v>
      </c>
      <c r="B951">
        <v>2023</v>
      </c>
      <c r="C951">
        <v>10</v>
      </c>
      <c r="D951" s="1" t="s">
        <v>95</v>
      </c>
      <c r="E951">
        <v>16.25</v>
      </c>
      <c r="F951">
        <v>20.350000000000001</v>
      </c>
      <c r="G951">
        <v>79.900000000000006</v>
      </c>
    </row>
    <row r="952" spans="1:7" x14ac:dyDescent="0.25">
      <c r="A952" s="2">
        <v>45231</v>
      </c>
      <c r="B952">
        <v>2023</v>
      </c>
      <c r="C952">
        <v>11</v>
      </c>
      <c r="D952" s="1" t="s">
        <v>95</v>
      </c>
      <c r="E952">
        <v>16.62</v>
      </c>
      <c r="F952">
        <v>20.67</v>
      </c>
      <c r="G952">
        <v>80.400000000000006</v>
      </c>
    </row>
    <row r="953" spans="1:7" x14ac:dyDescent="0.25">
      <c r="A953" s="2">
        <v>45261</v>
      </c>
      <c r="B953">
        <v>2023</v>
      </c>
      <c r="C953">
        <v>12</v>
      </c>
      <c r="D953" s="1" t="s">
        <v>95</v>
      </c>
      <c r="E953">
        <v>17.73</v>
      </c>
      <c r="F953">
        <v>21.31</v>
      </c>
      <c r="G953">
        <v>83.2</v>
      </c>
    </row>
    <row r="954" spans="1:7" x14ac:dyDescent="0.25">
      <c r="A954" s="2">
        <v>45292</v>
      </c>
      <c r="B954">
        <v>2024</v>
      </c>
      <c r="C954">
        <v>1</v>
      </c>
      <c r="D954" s="1" t="s">
        <v>95</v>
      </c>
      <c r="E954">
        <v>19.04</v>
      </c>
      <c r="F954">
        <v>23.74</v>
      </c>
      <c r="G954">
        <v>80.2</v>
      </c>
    </row>
    <row r="955" spans="1:7" x14ac:dyDescent="0.25">
      <c r="A955" s="2">
        <v>45323</v>
      </c>
      <c r="B955">
        <v>2024</v>
      </c>
      <c r="C955">
        <v>2</v>
      </c>
      <c r="D955" s="1" t="s">
        <v>95</v>
      </c>
      <c r="E955">
        <v>18.420000000000002</v>
      </c>
      <c r="F955">
        <v>23.53</v>
      </c>
      <c r="G955">
        <v>78.3</v>
      </c>
    </row>
    <row r="956" spans="1:7" x14ac:dyDescent="0.25">
      <c r="A956" s="2">
        <v>45352</v>
      </c>
      <c r="B956">
        <v>2024</v>
      </c>
      <c r="C956">
        <v>3</v>
      </c>
      <c r="D956" s="1" t="s">
        <v>95</v>
      </c>
      <c r="E956">
        <v>17.760000000000002</v>
      </c>
      <c r="F956">
        <v>21.45</v>
      </c>
      <c r="G956">
        <v>82.8</v>
      </c>
    </row>
    <row r="957" spans="1:7" x14ac:dyDescent="0.25">
      <c r="A957" s="2">
        <v>45383</v>
      </c>
      <c r="B957">
        <v>2024</v>
      </c>
      <c r="C957">
        <v>4</v>
      </c>
      <c r="D957" s="1" t="s">
        <v>95</v>
      </c>
      <c r="E957">
        <v>17.68</v>
      </c>
      <c r="F957">
        <v>21.95</v>
      </c>
      <c r="G957">
        <v>80.599999999999994</v>
      </c>
    </row>
    <row r="958" spans="1:7" x14ac:dyDescent="0.25">
      <c r="A958" s="2">
        <v>45413</v>
      </c>
      <c r="B958">
        <v>2024</v>
      </c>
      <c r="C958">
        <v>5</v>
      </c>
      <c r="D958" s="1" t="s">
        <v>95</v>
      </c>
      <c r="E958">
        <v>16.989999999999998</v>
      </c>
      <c r="F958">
        <v>21.52</v>
      </c>
      <c r="G958">
        <v>79</v>
      </c>
    </row>
    <row r="959" spans="1:7" x14ac:dyDescent="0.25">
      <c r="A959" s="2">
        <v>45444</v>
      </c>
      <c r="B959">
        <v>2024</v>
      </c>
      <c r="C959">
        <v>6</v>
      </c>
      <c r="D959" s="1" t="s">
        <v>95</v>
      </c>
      <c r="E959">
        <v>15.32</v>
      </c>
      <c r="F959">
        <v>18.37</v>
      </c>
      <c r="G959">
        <v>83.4</v>
      </c>
    </row>
    <row r="960" spans="1:7" x14ac:dyDescent="0.25">
      <c r="A960" s="2">
        <v>45474</v>
      </c>
      <c r="B960">
        <v>2024</v>
      </c>
      <c r="C960">
        <v>7</v>
      </c>
      <c r="D960" s="1" t="s">
        <v>95</v>
      </c>
      <c r="E960">
        <v>16.559999999999999</v>
      </c>
      <c r="F960">
        <v>19.95</v>
      </c>
      <c r="G960">
        <v>83</v>
      </c>
    </row>
    <row r="961" spans="1:7" x14ac:dyDescent="0.25">
      <c r="A961" s="2">
        <v>45505</v>
      </c>
      <c r="B961">
        <v>2024</v>
      </c>
      <c r="C961">
        <v>8</v>
      </c>
      <c r="D961" s="1" t="s">
        <v>95</v>
      </c>
      <c r="E961">
        <v>16.04</v>
      </c>
      <c r="F961">
        <v>20.67</v>
      </c>
      <c r="G961">
        <v>77.599999999999994</v>
      </c>
    </row>
    <row r="962" spans="1:7" x14ac:dyDescent="0.25">
      <c r="A962" s="2">
        <v>45536</v>
      </c>
      <c r="B962">
        <v>2024</v>
      </c>
      <c r="C962">
        <v>9</v>
      </c>
      <c r="D962" s="1" t="s">
        <v>95</v>
      </c>
      <c r="E962">
        <v>15.8</v>
      </c>
      <c r="F962">
        <v>19.2</v>
      </c>
      <c r="G962">
        <v>82.3</v>
      </c>
    </row>
    <row r="963" spans="1:7" x14ac:dyDescent="0.25">
      <c r="A963" s="2">
        <v>45566</v>
      </c>
      <c r="B963">
        <v>2024</v>
      </c>
      <c r="C963">
        <v>10</v>
      </c>
      <c r="D963" s="1" t="s">
        <v>95</v>
      </c>
      <c r="E963">
        <v>17.559999999999999</v>
      </c>
      <c r="F963">
        <v>22.01</v>
      </c>
      <c r="G963">
        <v>79.8</v>
      </c>
    </row>
    <row r="964" spans="1:7" x14ac:dyDescent="0.25">
      <c r="A964" s="2">
        <v>45597</v>
      </c>
      <c r="B964">
        <v>2024</v>
      </c>
      <c r="C964">
        <v>11</v>
      </c>
      <c r="D964" s="1" t="s">
        <v>95</v>
      </c>
      <c r="E964">
        <v>18.760000000000002</v>
      </c>
      <c r="F964">
        <v>22.82</v>
      </c>
      <c r="G964">
        <v>82.2</v>
      </c>
    </row>
    <row r="965" spans="1:7" x14ac:dyDescent="0.25">
      <c r="A965" s="2">
        <v>45627</v>
      </c>
      <c r="B965">
        <v>2024</v>
      </c>
      <c r="C965">
        <v>12</v>
      </c>
      <c r="D965" s="1" t="s">
        <v>95</v>
      </c>
      <c r="E965">
        <v>20.03</v>
      </c>
      <c r="F965">
        <v>24.34</v>
      </c>
      <c r="G965">
        <v>82.3</v>
      </c>
    </row>
    <row r="966" spans="1:7" x14ac:dyDescent="0.25">
      <c r="A966" s="2">
        <v>45658</v>
      </c>
      <c r="B966">
        <v>2025</v>
      </c>
      <c r="C966">
        <v>1</v>
      </c>
      <c r="D966" s="1" t="s">
        <v>95</v>
      </c>
      <c r="E966">
        <v>20.54</v>
      </c>
      <c r="F966">
        <v>25.05</v>
      </c>
      <c r="G966">
        <v>82</v>
      </c>
    </row>
    <row r="967" spans="1:7" x14ac:dyDescent="0.25">
      <c r="A967" s="2">
        <v>45689</v>
      </c>
      <c r="B967">
        <v>2025</v>
      </c>
      <c r="C967">
        <v>2</v>
      </c>
      <c r="D967" s="1" t="s">
        <v>95</v>
      </c>
      <c r="E967">
        <v>19.579999999999998</v>
      </c>
      <c r="F967">
        <v>23.28</v>
      </c>
      <c r="G967">
        <v>84.1</v>
      </c>
    </row>
    <row r="968" spans="1:7" x14ac:dyDescent="0.25">
      <c r="A968" s="2">
        <v>45717</v>
      </c>
      <c r="B968">
        <v>2025</v>
      </c>
      <c r="C968">
        <v>3</v>
      </c>
      <c r="D968" s="1" t="s">
        <v>95</v>
      </c>
      <c r="E968">
        <v>18.52</v>
      </c>
      <c r="F968">
        <v>21.14</v>
      </c>
      <c r="G968">
        <v>87.6</v>
      </c>
    </row>
    <row r="969" spans="1:7" x14ac:dyDescent="0.25">
      <c r="A969" s="2">
        <v>45748</v>
      </c>
      <c r="B969">
        <v>2025</v>
      </c>
      <c r="C969">
        <v>4</v>
      </c>
      <c r="D969" s="1" t="s">
        <v>95</v>
      </c>
      <c r="E969">
        <v>18.46</v>
      </c>
      <c r="F969">
        <v>22.3</v>
      </c>
      <c r="G969">
        <v>82.8</v>
      </c>
    </row>
    <row r="970" spans="1:7" x14ac:dyDescent="0.25">
      <c r="A970" s="2">
        <v>45778</v>
      </c>
      <c r="B970">
        <v>2025</v>
      </c>
      <c r="C970">
        <v>5</v>
      </c>
      <c r="D970" s="1" t="s">
        <v>95</v>
      </c>
      <c r="E970">
        <v>17.690000000000001</v>
      </c>
      <c r="F970">
        <v>20.63</v>
      </c>
      <c r="G970">
        <v>85.8</v>
      </c>
    </row>
    <row r="971" spans="1:7" x14ac:dyDescent="0.25">
      <c r="A971" s="2">
        <v>45809</v>
      </c>
      <c r="B971">
        <v>2025</v>
      </c>
      <c r="C971">
        <v>6</v>
      </c>
      <c r="D971" s="1" t="s">
        <v>95</v>
      </c>
      <c r="E971">
        <v>17.23</v>
      </c>
      <c r="F971">
        <v>21.86</v>
      </c>
      <c r="G971">
        <v>78.8</v>
      </c>
    </row>
    <row r="972" spans="1:7" x14ac:dyDescent="0.25">
      <c r="A972" s="2">
        <v>45839</v>
      </c>
      <c r="B972">
        <v>2025</v>
      </c>
      <c r="C972">
        <v>7</v>
      </c>
      <c r="D972" s="1" t="s">
        <v>95</v>
      </c>
      <c r="E972">
        <v>17.37</v>
      </c>
      <c r="F972">
        <v>21.36</v>
      </c>
      <c r="G972">
        <v>81.3</v>
      </c>
    </row>
    <row r="973" spans="1:7" x14ac:dyDescent="0.25">
      <c r="A973" s="2">
        <v>45870</v>
      </c>
      <c r="B973">
        <v>2025</v>
      </c>
      <c r="C973">
        <v>8</v>
      </c>
      <c r="D973" s="1" t="s">
        <v>95</v>
      </c>
      <c r="E973">
        <v>17.03</v>
      </c>
      <c r="F973">
        <v>21.44</v>
      </c>
      <c r="G973">
        <v>79.400000000000006</v>
      </c>
    </row>
    <row r="974" spans="1:7" x14ac:dyDescent="0.25">
      <c r="A974" s="2">
        <v>45901</v>
      </c>
      <c r="B974">
        <v>2025</v>
      </c>
      <c r="C974">
        <v>9</v>
      </c>
      <c r="D974" s="1" t="s">
        <v>95</v>
      </c>
      <c r="E974">
        <v>18.02</v>
      </c>
      <c r="F974">
        <v>22.32</v>
      </c>
      <c r="G974">
        <v>80.7</v>
      </c>
    </row>
    <row r="975" spans="1:7" x14ac:dyDescent="0.25">
      <c r="A975" s="2">
        <v>45931</v>
      </c>
      <c r="B975">
        <v>2025</v>
      </c>
      <c r="C975">
        <v>10</v>
      </c>
      <c r="D975" s="1" t="s">
        <v>95</v>
      </c>
      <c r="E975">
        <v>18.809999999999999</v>
      </c>
      <c r="F975">
        <v>23.09</v>
      </c>
      <c r="G975">
        <v>81.400000000000006</v>
      </c>
    </row>
    <row r="976" spans="1:7" x14ac:dyDescent="0.25">
      <c r="A976" s="2">
        <v>45962</v>
      </c>
      <c r="B976">
        <v>2025</v>
      </c>
      <c r="C976">
        <v>11</v>
      </c>
      <c r="D976" s="1" t="s">
        <v>95</v>
      </c>
      <c r="E976">
        <v>20.95</v>
      </c>
      <c r="F976">
        <v>24.37</v>
      </c>
      <c r="G976">
        <v>86</v>
      </c>
    </row>
    <row r="977" spans="1:7" x14ac:dyDescent="0.25">
      <c r="A977" s="2">
        <v>45992</v>
      </c>
      <c r="B977">
        <v>2025</v>
      </c>
      <c r="C977">
        <v>12</v>
      </c>
      <c r="D977" s="1" t="s">
        <v>95</v>
      </c>
      <c r="E977">
        <v>20.58</v>
      </c>
      <c r="F977">
        <v>25.06</v>
      </c>
      <c r="G977">
        <v>82.1</v>
      </c>
    </row>
    <row r="978" spans="1:7" x14ac:dyDescent="0.25">
      <c r="A978" s="2">
        <v>46023</v>
      </c>
      <c r="B978">
        <v>2026</v>
      </c>
      <c r="C978">
        <v>1</v>
      </c>
      <c r="D978" s="1" t="s">
        <v>95</v>
      </c>
      <c r="E978">
        <v>20.67</v>
      </c>
      <c r="F978">
        <v>24.54</v>
      </c>
      <c r="G978">
        <v>84.2</v>
      </c>
    </row>
    <row r="979" spans="1:7" x14ac:dyDescent="0.25">
      <c r="A979" s="2">
        <v>46054</v>
      </c>
      <c r="B979">
        <v>2026</v>
      </c>
      <c r="C979">
        <v>2</v>
      </c>
      <c r="D979" s="1" t="s">
        <v>95</v>
      </c>
      <c r="E979">
        <v>20.440000000000001</v>
      </c>
      <c r="F979">
        <v>25.19</v>
      </c>
      <c r="G979">
        <v>81.2</v>
      </c>
    </row>
    <row r="980" spans="1:7" x14ac:dyDescent="0.25">
      <c r="A980" s="2">
        <v>46082</v>
      </c>
      <c r="B980">
        <v>2026</v>
      </c>
      <c r="C980">
        <v>3</v>
      </c>
      <c r="D980" s="1" t="s">
        <v>95</v>
      </c>
      <c r="E980">
        <v>20.54</v>
      </c>
      <c r="F980">
        <v>25.39</v>
      </c>
      <c r="G980">
        <v>80.900000000000006</v>
      </c>
    </row>
    <row r="981" spans="1:7" x14ac:dyDescent="0.25">
      <c r="A981" s="2">
        <v>46113</v>
      </c>
      <c r="B981">
        <v>2026</v>
      </c>
      <c r="C981">
        <v>4</v>
      </c>
      <c r="D981" s="1" t="s">
        <v>95</v>
      </c>
      <c r="E981">
        <v>18.98</v>
      </c>
      <c r="F981">
        <v>24.07</v>
      </c>
      <c r="G981">
        <v>78.8</v>
      </c>
    </row>
    <row r="982" spans="1:7" x14ac:dyDescent="0.25">
      <c r="A982" s="2">
        <v>40179</v>
      </c>
      <c r="B982">
        <v>2010</v>
      </c>
      <c r="C982">
        <v>1</v>
      </c>
      <c r="D982" s="1" t="s">
        <v>123</v>
      </c>
      <c r="E982">
        <v>4</v>
      </c>
      <c r="F982">
        <v>4.66</v>
      </c>
      <c r="G982">
        <v>85.9</v>
      </c>
    </row>
    <row r="983" spans="1:7" x14ac:dyDescent="0.25">
      <c r="A983" s="2">
        <v>40210</v>
      </c>
      <c r="B983">
        <v>2010</v>
      </c>
      <c r="C983">
        <v>2</v>
      </c>
      <c r="D983" s="1" t="s">
        <v>123</v>
      </c>
      <c r="E983">
        <v>3.93</v>
      </c>
      <c r="F983">
        <v>4.63</v>
      </c>
      <c r="G983">
        <v>84.9</v>
      </c>
    </row>
    <row r="984" spans="1:7" x14ac:dyDescent="0.25">
      <c r="A984" s="2">
        <v>40238</v>
      </c>
      <c r="B984">
        <v>2010</v>
      </c>
      <c r="C984">
        <v>3</v>
      </c>
      <c r="D984" s="1" t="s">
        <v>123</v>
      </c>
      <c r="E984">
        <v>3.86</v>
      </c>
      <c r="F984">
        <v>4.68</v>
      </c>
      <c r="G984">
        <v>82.5</v>
      </c>
    </row>
    <row r="985" spans="1:7" x14ac:dyDescent="0.25">
      <c r="A985" s="2">
        <v>40269</v>
      </c>
      <c r="B985">
        <v>2010</v>
      </c>
      <c r="C985">
        <v>4</v>
      </c>
      <c r="D985" s="1" t="s">
        <v>123</v>
      </c>
      <c r="E985">
        <v>4.1100000000000003</v>
      </c>
      <c r="F985">
        <v>5.04</v>
      </c>
      <c r="G985">
        <v>81.5</v>
      </c>
    </row>
    <row r="986" spans="1:7" x14ac:dyDescent="0.25">
      <c r="A986" s="2">
        <v>40299</v>
      </c>
      <c r="B986">
        <v>2010</v>
      </c>
      <c r="C986">
        <v>5</v>
      </c>
      <c r="D986" s="1" t="s">
        <v>123</v>
      </c>
      <c r="E986">
        <v>4.71</v>
      </c>
      <c r="F986">
        <v>5.73</v>
      </c>
      <c r="G986">
        <v>82.2</v>
      </c>
    </row>
    <row r="987" spans="1:7" x14ac:dyDescent="0.25">
      <c r="A987" s="2">
        <v>40330</v>
      </c>
      <c r="B987">
        <v>2010</v>
      </c>
      <c r="C987">
        <v>6</v>
      </c>
      <c r="D987" s="1" t="s">
        <v>123</v>
      </c>
      <c r="E987">
        <v>4.7699999999999996</v>
      </c>
      <c r="F987">
        <v>6</v>
      </c>
      <c r="G987">
        <v>79.400000000000006</v>
      </c>
    </row>
    <row r="988" spans="1:7" x14ac:dyDescent="0.25">
      <c r="A988" s="2">
        <v>40360</v>
      </c>
      <c r="B988">
        <v>2010</v>
      </c>
      <c r="C988">
        <v>7</v>
      </c>
      <c r="D988" s="1" t="s">
        <v>123</v>
      </c>
      <c r="E988">
        <v>5.04</v>
      </c>
      <c r="F988">
        <v>6.07</v>
      </c>
      <c r="G988">
        <v>83</v>
      </c>
    </row>
    <row r="989" spans="1:7" x14ac:dyDescent="0.25">
      <c r="A989" s="2">
        <v>40391</v>
      </c>
      <c r="B989">
        <v>2010</v>
      </c>
      <c r="C989">
        <v>8</v>
      </c>
      <c r="D989" s="1" t="s">
        <v>123</v>
      </c>
      <c r="E989">
        <v>5.72</v>
      </c>
      <c r="F989">
        <v>6.75</v>
      </c>
      <c r="G989">
        <v>84.7</v>
      </c>
    </row>
    <row r="990" spans="1:7" x14ac:dyDescent="0.25">
      <c r="A990" s="2">
        <v>40422</v>
      </c>
      <c r="B990">
        <v>2010</v>
      </c>
      <c r="C990">
        <v>9</v>
      </c>
      <c r="D990" s="1" t="s">
        <v>123</v>
      </c>
      <c r="E990">
        <v>5.0199999999999996</v>
      </c>
      <c r="F990">
        <v>5.91</v>
      </c>
      <c r="G990">
        <v>84.8</v>
      </c>
    </row>
    <row r="991" spans="1:7" x14ac:dyDescent="0.25">
      <c r="A991" s="2">
        <v>40452</v>
      </c>
      <c r="B991">
        <v>2010</v>
      </c>
      <c r="C991">
        <v>10</v>
      </c>
      <c r="D991" s="1" t="s">
        <v>123</v>
      </c>
      <c r="E991">
        <v>5.22</v>
      </c>
      <c r="F991">
        <v>6.62</v>
      </c>
      <c r="G991">
        <v>78.900000000000006</v>
      </c>
    </row>
    <row r="992" spans="1:7" x14ac:dyDescent="0.25">
      <c r="A992" s="2">
        <v>40483</v>
      </c>
      <c r="B992">
        <v>2010</v>
      </c>
      <c r="C992">
        <v>11</v>
      </c>
      <c r="D992" s="1" t="s">
        <v>123</v>
      </c>
      <c r="E992">
        <v>4.71</v>
      </c>
      <c r="F992">
        <v>5.59</v>
      </c>
      <c r="G992">
        <v>84.2</v>
      </c>
    </row>
    <row r="993" spans="1:7" x14ac:dyDescent="0.25">
      <c r="A993" s="2">
        <v>40513</v>
      </c>
      <c r="B993">
        <v>2010</v>
      </c>
      <c r="C993">
        <v>12</v>
      </c>
      <c r="D993" s="1" t="s">
        <v>123</v>
      </c>
      <c r="E993">
        <v>4.49</v>
      </c>
      <c r="F993">
        <v>5.66</v>
      </c>
      <c r="G993">
        <v>79.400000000000006</v>
      </c>
    </row>
    <row r="994" spans="1:7" x14ac:dyDescent="0.25">
      <c r="A994" s="2">
        <v>40544</v>
      </c>
      <c r="B994">
        <v>2011</v>
      </c>
      <c r="C994">
        <v>1</v>
      </c>
      <c r="D994" s="1" t="s">
        <v>123</v>
      </c>
      <c r="E994">
        <v>4.25</v>
      </c>
      <c r="F994">
        <v>5.47</v>
      </c>
      <c r="G994">
        <v>77.7</v>
      </c>
    </row>
    <row r="995" spans="1:7" x14ac:dyDescent="0.25">
      <c r="A995" s="2">
        <v>40575</v>
      </c>
      <c r="B995">
        <v>2011</v>
      </c>
      <c r="C995">
        <v>2</v>
      </c>
      <c r="D995" s="1" t="s">
        <v>123</v>
      </c>
      <c r="E995">
        <v>4.07</v>
      </c>
      <c r="F995">
        <v>4.83</v>
      </c>
      <c r="G995">
        <v>84.3</v>
      </c>
    </row>
    <row r="996" spans="1:7" x14ac:dyDescent="0.25">
      <c r="A996" s="2">
        <v>40603</v>
      </c>
      <c r="B996">
        <v>2011</v>
      </c>
      <c r="C996">
        <v>3</v>
      </c>
      <c r="D996" s="1" t="s">
        <v>123</v>
      </c>
      <c r="E996">
        <v>4.22</v>
      </c>
      <c r="F996">
        <v>5.21</v>
      </c>
      <c r="G996">
        <v>81</v>
      </c>
    </row>
    <row r="997" spans="1:7" x14ac:dyDescent="0.25">
      <c r="A997" s="2">
        <v>40634</v>
      </c>
      <c r="B997">
        <v>2011</v>
      </c>
      <c r="C997">
        <v>4</v>
      </c>
      <c r="D997" s="1" t="s">
        <v>123</v>
      </c>
      <c r="E997">
        <v>4.63</v>
      </c>
      <c r="F997">
        <v>5.52</v>
      </c>
      <c r="G997">
        <v>83.9</v>
      </c>
    </row>
    <row r="998" spans="1:7" x14ac:dyDescent="0.25">
      <c r="A998" s="2">
        <v>40664</v>
      </c>
      <c r="B998">
        <v>2011</v>
      </c>
      <c r="C998">
        <v>5</v>
      </c>
      <c r="D998" s="1" t="s">
        <v>123</v>
      </c>
      <c r="E998">
        <v>5.0999999999999996</v>
      </c>
      <c r="F998">
        <v>6.09</v>
      </c>
      <c r="G998">
        <v>83.7</v>
      </c>
    </row>
    <row r="999" spans="1:7" x14ac:dyDescent="0.25">
      <c r="A999" s="2">
        <v>40695</v>
      </c>
      <c r="B999">
        <v>2011</v>
      </c>
      <c r="C999">
        <v>6</v>
      </c>
      <c r="D999" s="1" t="s">
        <v>123</v>
      </c>
      <c r="E999">
        <v>5.47</v>
      </c>
      <c r="F999">
        <v>6.55</v>
      </c>
      <c r="G999">
        <v>83.5</v>
      </c>
    </row>
    <row r="1000" spans="1:7" x14ac:dyDescent="0.25">
      <c r="A1000" s="2">
        <v>40725</v>
      </c>
      <c r="B1000">
        <v>2011</v>
      </c>
      <c r="C1000">
        <v>7</v>
      </c>
      <c r="D1000" s="1" t="s">
        <v>123</v>
      </c>
      <c r="E1000">
        <v>5.64</v>
      </c>
      <c r="F1000">
        <v>6.86</v>
      </c>
      <c r="G1000">
        <v>82.2</v>
      </c>
    </row>
    <row r="1001" spans="1:7" x14ac:dyDescent="0.25">
      <c r="A1001" s="2">
        <v>40756</v>
      </c>
      <c r="B1001">
        <v>2011</v>
      </c>
      <c r="C1001">
        <v>8</v>
      </c>
      <c r="D1001" s="1" t="s">
        <v>123</v>
      </c>
      <c r="E1001">
        <v>5.68</v>
      </c>
      <c r="F1001">
        <v>7.14</v>
      </c>
      <c r="G1001">
        <v>79.599999999999994</v>
      </c>
    </row>
    <row r="1002" spans="1:7" x14ac:dyDescent="0.25">
      <c r="A1002" s="2">
        <v>40787</v>
      </c>
      <c r="B1002">
        <v>2011</v>
      </c>
      <c r="C1002">
        <v>9</v>
      </c>
      <c r="D1002" s="1" t="s">
        <v>123</v>
      </c>
      <c r="E1002">
        <v>5.49</v>
      </c>
      <c r="F1002">
        <v>6.74</v>
      </c>
      <c r="G1002">
        <v>81.400000000000006</v>
      </c>
    </row>
    <row r="1003" spans="1:7" x14ac:dyDescent="0.25">
      <c r="A1003" s="2">
        <v>40817</v>
      </c>
      <c r="B1003">
        <v>2011</v>
      </c>
      <c r="C1003">
        <v>10</v>
      </c>
      <c r="D1003" s="1" t="s">
        <v>123</v>
      </c>
      <c r="E1003">
        <v>5.44</v>
      </c>
      <c r="F1003">
        <v>6.41</v>
      </c>
      <c r="G1003">
        <v>84.9</v>
      </c>
    </row>
    <row r="1004" spans="1:7" x14ac:dyDescent="0.25">
      <c r="A1004" s="2">
        <v>40848</v>
      </c>
      <c r="B1004">
        <v>2011</v>
      </c>
      <c r="C1004">
        <v>11</v>
      </c>
      <c r="D1004" s="1" t="s">
        <v>123</v>
      </c>
      <c r="E1004">
        <v>5.04</v>
      </c>
      <c r="F1004">
        <v>6</v>
      </c>
      <c r="G1004">
        <v>84</v>
      </c>
    </row>
    <row r="1005" spans="1:7" x14ac:dyDescent="0.25">
      <c r="A1005" s="2">
        <v>40878</v>
      </c>
      <c r="B1005">
        <v>2011</v>
      </c>
      <c r="C1005">
        <v>12</v>
      </c>
      <c r="D1005" s="1" t="s">
        <v>123</v>
      </c>
      <c r="E1005">
        <v>4.8499999999999996</v>
      </c>
      <c r="F1005">
        <v>5.95</v>
      </c>
      <c r="G1005">
        <v>81.5</v>
      </c>
    </row>
    <row r="1006" spans="1:7" x14ac:dyDescent="0.25">
      <c r="A1006" s="2">
        <v>40909</v>
      </c>
      <c r="B1006">
        <v>2012</v>
      </c>
      <c r="C1006">
        <v>1</v>
      </c>
      <c r="D1006" s="1" t="s">
        <v>123</v>
      </c>
      <c r="E1006">
        <v>4.5199999999999996</v>
      </c>
      <c r="F1006">
        <v>5.54</v>
      </c>
      <c r="G1006">
        <v>81.5</v>
      </c>
    </row>
    <row r="1007" spans="1:7" x14ac:dyDescent="0.25">
      <c r="A1007" s="2">
        <v>40940</v>
      </c>
      <c r="B1007">
        <v>2012</v>
      </c>
      <c r="C1007">
        <v>2</v>
      </c>
      <c r="D1007" s="1" t="s">
        <v>123</v>
      </c>
      <c r="E1007">
        <v>4.53</v>
      </c>
      <c r="F1007">
        <v>5.44</v>
      </c>
      <c r="G1007">
        <v>83.3</v>
      </c>
    </row>
    <row r="1008" spans="1:7" x14ac:dyDescent="0.25">
      <c r="A1008" s="2">
        <v>40969</v>
      </c>
      <c r="B1008">
        <v>2012</v>
      </c>
      <c r="C1008">
        <v>3</v>
      </c>
      <c r="D1008" s="1" t="s">
        <v>123</v>
      </c>
      <c r="E1008">
        <v>4.32</v>
      </c>
      <c r="F1008">
        <v>5.25</v>
      </c>
      <c r="G1008">
        <v>82.3</v>
      </c>
    </row>
    <row r="1009" spans="1:7" x14ac:dyDescent="0.25">
      <c r="A1009" s="2">
        <v>41000</v>
      </c>
      <c r="B1009">
        <v>2012</v>
      </c>
      <c r="C1009">
        <v>4</v>
      </c>
      <c r="D1009" s="1" t="s">
        <v>123</v>
      </c>
      <c r="E1009">
        <v>5.03</v>
      </c>
      <c r="F1009">
        <v>6.16</v>
      </c>
      <c r="G1009">
        <v>81.599999999999994</v>
      </c>
    </row>
    <row r="1010" spans="1:7" x14ac:dyDescent="0.25">
      <c r="A1010" s="2">
        <v>41030</v>
      </c>
      <c r="B1010">
        <v>2012</v>
      </c>
      <c r="C1010">
        <v>5</v>
      </c>
      <c r="D1010" s="1" t="s">
        <v>123</v>
      </c>
      <c r="E1010">
        <v>5.27</v>
      </c>
      <c r="F1010">
        <v>6.34</v>
      </c>
      <c r="G1010">
        <v>83.1</v>
      </c>
    </row>
    <row r="1011" spans="1:7" x14ac:dyDescent="0.25">
      <c r="A1011" s="2">
        <v>41061</v>
      </c>
      <c r="B1011">
        <v>2012</v>
      </c>
      <c r="C1011">
        <v>6</v>
      </c>
      <c r="D1011" s="1" t="s">
        <v>123</v>
      </c>
      <c r="E1011">
        <v>5.44</v>
      </c>
      <c r="F1011">
        <v>6.56</v>
      </c>
      <c r="G1011">
        <v>83</v>
      </c>
    </row>
    <row r="1012" spans="1:7" x14ac:dyDescent="0.25">
      <c r="A1012" s="2">
        <v>41091</v>
      </c>
      <c r="B1012">
        <v>2012</v>
      </c>
      <c r="C1012">
        <v>7</v>
      </c>
      <c r="D1012" s="1" t="s">
        <v>123</v>
      </c>
      <c r="E1012">
        <v>5.69</v>
      </c>
      <c r="F1012">
        <v>7.05</v>
      </c>
      <c r="G1012">
        <v>80.7</v>
      </c>
    </row>
    <row r="1013" spans="1:7" x14ac:dyDescent="0.25">
      <c r="A1013" s="2">
        <v>41122</v>
      </c>
      <c r="B1013">
        <v>2012</v>
      </c>
      <c r="C1013">
        <v>8</v>
      </c>
      <c r="D1013" s="1" t="s">
        <v>123</v>
      </c>
      <c r="E1013">
        <v>6.27</v>
      </c>
      <c r="F1013">
        <v>7.57</v>
      </c>
      <c r="G1013">
        <v>82.7</v>
      </c>
    </row>
    <row r="1014" spans="1:7" x14ac:dyDescent="0.25">
      <c r="A1014" s="2">
        <v>41153</v>
      </c>
      <c r="B1014">
        <v>2012</v>
      </c>
      <c r="C1014">
        <v>9</v>
      </c>
      <c r="D1014" s="1" t="s">
        <v>123</v>
      </c>
      <c r="E1014">
        <v>5.93</v>
      </c>
      <c r="F1014">
        <v>7.16</v>
      </c>
      <c r="G1014">
        <v>82.9</v>
      </c>
    </row>
    <row r="1015" spans="1:7" x14ac:dyDescent="0.25">
      <c r="A1015" s="2">
        <v>41183</v>
      </c>
      <c r="B1015">
        <v>2012</v>
      </c>
      <c r="C1015">
        <v>10</v>
      </c>
      <c r="D1015" s="1" t="s">
        <v>123</v>
      </c>
      <c r="E1015">
        <v>5.71</v>
      </c>
      <c r="F1015">
        <v>6.97</v>
      </c>
      <c r="G1015">
        <v>82</v>
      </c>
    </row>
    <row r="1016" spans="1:7" x14ac:dyDescent="0.25">
      <c r="A1016" s="2">
        <v>41214</v>
      </c>
      <c r="B1016">
        <v>2012</v>
      </c>
      <c r="C1016">
        <v>11</v>
      </c>
      <c r="D1016" s="1" t="s">
        <v>123</v>
      </c>
      <c r="E1016">
        <v>5.46</v>
      </c>
      <c r="F1016">
        <v>6.77</v>
      </c>
      <c r="G1016">
        <v>80.5</v>
      </c>
    </row>
    <row r="1017" spans="1:7" x14ac:dyDescent="0.25">
      <c r="A1017" s="2">
        <v>41244</v>
      </c>
      <c r="B1017">
        <v>2012</v>
      </c>
      <c r="C1017">
        <v>12</v>
      </c>
      <c r="D1017" s="1" t="s">
        <v>123</v>
      </c>
      <c r="E1017">
        <v>4.9800000000000004</v>
      </c>
      <c r="F1017">
        <v>6.12</v>
      </c>
      <c r="G1017">
        <v>81.400000000000006</v>
      </c>
    </row>
    <row r="1018" spans="1:7" x14ac:dyDescent="0.25">
      <c r="A1018" s="2">
        <v>41275</v>
      </c>
      <c r="B1018">
        <v>2013</v>
      </c>
      <c r="C1018">
        <v>1</v>
      </c>
      <c r="D1018" s="1" t="s">
        <v>123</v>
      </c>
      <c r="E1018">
        <v>4.4800000000000004</v>
      </c>
      <c r="F1018">
        <v>5.59</v>
      </c>
      <c r="G1018">
        <v>80.2</v>
      </c>
    </row>
    <row r="1019" spans="1:7" x14ac:dyDescent="0.25">
      <c r="A1019" s="2">
        <v>41306</v>
      </c>
      <c r="B1019">
        <v>2013</v>
      </c>
      <c r="C1019">
        <v>2</v>
      </c>
      <c r="D1019" s="1" t="s">
        <v>123</v>
      </c>
      <c r="E1019">
        <v>4.83</v>
      </c>
      <c r="F1019">
        <v>5.84</v>
      </c>
      <c r="G1019">
        <v>82.8</v>
      </c>
    </row>
    <row r="1020" spans="1:7" x14ac:dyDescent="0.25">
      <c r="A1020" s="2">
        <v>41334</v>
      </c>
      <c r="B1020">
        <v>2013</v>
      </c>
      <c r="C1020">
        <v>3</v>
      </c>
      <c r="D1020" s="1" t="s">
        <v>123</v>
      </c>
      <c r="E1020">
        <v>4.5599999999999996</v>
      </c>
      <c r="F1020">
        <v>5.77</v>
      </c>
      <c r="G1020">
        <v>78.900000000000006</v>
      </c>
    </row>
    <row r="1021" spans="1:7" x14ac:dyDescent="0.25">
      <c r="A1021" s="2">
        <v>41365</v>
      </c>
      <c r="B1021">
        <v>2013</v>
      </c>
      <c r="C1021">
        <v>4</v>
      </c>
      <c r="D1021" s="1" t="s">
        <v>123</v>
      </c>
      <c r="E1021">
        <v>5.05</v>
      </c>
      <c r="F1021">
        <v>5.93</v>
      </c>
      <c r="G1021">
        <v>85.1</v>
      </c>
    </row>
    <row r="1022" spans="1:7" x14ac:dyDescent="0.25">
      <c r="A1022" s="2">
        <v>41395</v>
      </c>
      <c r="B1022">
        <v>2013</v>
      </c>
      <c r="C1022">
        <v>5</v>
      </c>
      <c r="D1022" s="1" t="s">
        <v>123</v>
      </c>
      <c r="E1022">
        <v>5.47</v>
      </c>
      <c r="F1022">
        <v>6.46</v>
      </c>
      <c r="G1022">
        <v>84.6</v>
      </c>
    </row>
    <row r="1023" spans="1:7" x14ac:dyDescent="0.25">
      <c r="A1023" s="2">
        <v>41426</v>
      </c>
      <c r="B1023">
        <v>2013</v>
      </c>
      <c r="C1023">
        <v>6</v>
      </c>
      <c r="D1023" s="1" t="s">
        <v>123</v>
      </c>
      <c r="E1023">
        <v>6</v>
      </c>
      <c r="F1023">
        <v>7.24</v>
      </c>
      <c r="G1023">
        <v>82.9</v>
      </c>
    </row>
    <row r="1024" spans="1:7" x14ac:dyDescent="0.25">
      <c r="A1024" s="2">
        <v>41456</v>
      </c>
      <c r="B1024">
        <v>2013</v>
      </c>
      <c r="C1024">
        <v>7</v>
      </c>
      <c r="D1024" s="1" t="s">
        <v>123</v>
      </c>
      <c r="E1024">
        <v>6.02</v>
      </c>
      <c r="F1024">
        <v>7.18</v>
      </c>
      <c r="G1024">
        <v>83.9</v>
      </c>
    </row>
    <row r="1025" spans="1:7" x14ac:dyDescent="0.25">
      <c r="A1025" s="2">
        <v>41487</v>
      </c>
      <c r="B1025">
        <v>2013</v>
      </c>
      <c r="C1025">
        <v>8</v>
      </c>
      <c r="D1025" s="1" t="s">
        <v>123</v>
      </c>
      <c r="E1025">
        <v>6.35</v>
      </c>
      <c r="F1025">
        <v>7.58</v>
      </c>
      <c r="G1025">
        <v>83.7</v>
      </c>
    </row>
    <row r="1026" spans="1:7" x14ac:dyDescent="0.25">
      <c r="A1026" s="2">
        <v>41518</v>
      </c>
      <c r="B1026">
        <v>2013</v>
      </c>
      <c r="C1026">
        <v>9</v>
      </c>
      <c r="D1026" s="1" t="s">
        <v>123</v>
      </c>
      <c r="E1026">
        <v>6.17</v>
      </c>
      <c r="F1026">
        <v>7.5</v>
      </c>
      <c r="G1026">
        <v>82.4</v>
      </c>
    </row>
    <row r="1027" spans="1:7" x14ac:dyDescent="0.25">
      <c r="A1027" s="2">
        <v>41548</v>
      </c>
      <c r="B1027">
        <v>2013</v>
      </c>
      <c r="C1027">
        <v>10</v>
      </c>
      <c r="D1027" s="1" t="s">
        <v>123</v>
      </c>
      <c r="E1027">
        <v>6.11</v>
      </c>
      <c r="F1027">
        <v>7.48</v>
      </c>
      <c r="G1027">
        <v>81.7</v>
      </c>
    </row>
    <row r="1028" spans="1:7" x14ac:dyDescent="0.25">
      <c r="A1028" s="2">
        <v>41579</v>
      </c>
      <c r="B1028">
        <v>2013</v>
      </c>
      <c r="C1028">
        <v>11</v>
      </c>
      <c r="D1028" s="1" t="s">
        <v>123</v>
      </c>
      <c r="E1028">
        <v>5.72</v>
      </c>
      <c r="F1028">
        <v>7.02</v>
      </c>
      <c r="G1028">
        <v>81.5</v>
      </c>
    </row>
    <row r="1029" spans="1:7" x14ac:dyDescent="0.25">
      <c r="A1029" s="2">
        <v>41609</v>
      </c>
      <c r="B1029">
        <v>2013</v>
      </c>
      <c r="C1029">
        <v>12</v>
      </c>
      <c r="D1029" s="1" t="s">
        <v>123</v>
      </c>
      <c r="E1029">
        <v>5.15</v>
      </c>
      <c r="F1029">
        <v>6.04</v>
      </c>
      <c r="G1029">
        <v>85.2</v>
      </c>
    </row>
    <row r="1030" spans="1:7" x14ac:dyDescent="0.25">
      <c r="A1030" s="2">
        <v>41640</v>
      </c>
      <c r="B1030">
        <v>2014</v>
      </c>
      <c r="C1030">
        <v>1</v>
      </c>
      <c r="D1030" s="1" t="s">
        <v>123</v>
      </c>
      <c r="E1030">
        <v>5.12</v>
      </c>
      <c r="F1030">
        <v>6.36</v>
      </c>
      <c r="G1030">
        <v>80.5</v>
      </c>
    </row>
    <row r="1031" spans="1:7" x14ac:dyDescent="0.25">
      <c r="A1031" s="2">
        <v>41671</v>
      </c>
      <c r="B1031">
        <v>2014</v>
      </c>
      <c r="C1031">
        <v>2</v>
      </c>
      <c r="D1031" s="1" t="s">
        <v>123</v>
      </c>
      <c r="E1031">
        <v>4.95</v>
      </c>
      <c r="F1031">
        <v>6.15</v>
      </c>
      <c r="G1031">
        <v>80.5</v>
      </c>
    </row>
    <row r="1032" spans="1:7" x14ac:dyDescent="0.25">
      <c r="A1032" s="2">
        <v>41699</v>
      </c>
      <c r="B1032">
        <v>2014</v>
      </c>
      <c r="C1032">
        <v>3</v>
      </c>
      <c r="D1032" s="1" t="s">
        <v>123</v>
      </c>
      <c r="E1032">
        <v>4.83</v>
      </c>
      <c r="F1032">
        <v>5.74</v>
      </c>
      <c r="G1032">
        <v>84.1</v>
      </c>
    </row>
    <row r="1033" spans="1:7" x14ac:dyDescent="0.25">
      <c r="A1033" s="2">
        <v>41730</v>
      </c>
      <c r="B1033">
        <v>2014</v>
      </c>
      <c r="C1033">
        <v>4</v>
      </c>
      <c r="D1033" s="1" t="s">
        <v>123</v>
      </c>
      <c r="E1033">
        <v>5.08</v>
      </c>
      <c r="F1033">
        <v>6.05</v>
      </c>
      <c r="G1033">
        <v>83.9</v>
      </c>
    </row>
    <row r="1034" spans="1:7" x14ac:dyDescent="0.25">
      <c r="A1034" s="2">
        <v>41760</v>
      </c>
      <c r="B1034">
        <v>2014</v>
      </c>
      <c r="C1034">
        <v>5</v>
      </c>
      <c r="D1034" s="1" t="s">
        <v>123</v>
      </c>
      <c r="E1034">
        <v>5.76</v>
      </c>
      <c r="F1034">
        <v>7.06</v>
      </c>
      <c r="G1034">
        <v>81.599999999999994</v>
      </c>
    </row>
    <row r="1035" spans="1:7" x14ac:dyDescent="0.25">
      <c r="A1035" s="2">
        <v>41791</v>
      </c>
      <c r="B1035">
        <v>2014</v>
      </c>
      <c r="C1035">
        <v>6</v>
      </c>
      <c r="D1035" s="1" t="s">
        <v>123</v>
      </c>
      <c r="E1035">
        <v>6.34</v>
      </c>
      <c r="F1035">
        <v>7.62</v>
      </c>
      <c r="G1035">
        <v>83.2</v>
      </c>
    </row>
    <row r="1036" spans="1:7" x14ac:dyDescent="0.25">
      <c r="A1036" s="2">
        <v>41821</v>
      </c>
      <c r="B1036">
        <v>2014</v>
      </c>
      <c r="C1036">
        <v>7</v>
      </c>
      <c r="D1036" s="1" t="s">
        <v>123</v>
      </c>
      <c r="E1036">
        <v>6.45</v>
      </c>
      <c r="F1036">
        <v>7.73</v>
      </c>
      <c r="G1036">
        <v>83.4</v>
      </c>
    </row>
    <row r="1037" spans="1:7" x14ac:dyDescent="0.25">
      <c r="A1037" s="2">
        <v>41852</v>
      </c>
      <c r="B1037">
        <v>2014</v>
      </c>
      <c r="C1037">
        <v>8</v>
      </c>
      <c r="D1037" s="1" t="s">
        <v>123</v>
      </c>
      <c r="E1037">
        <v>6.78</v>
      </c>
      <c r="F1037">
        <v>8.5299999999999994</v>
      </c>
      <c r="G1037">
        <v>79.5</v>
      </c>
    </row>
    <row r="1038" spans="1:7" x14ac:dyDescent="0.25">
      <c r="A1038" s="2">
        <v>41883</v>
      </c>
      <c r="B1038">
        <v>2014</v>
      </c>
      <c r="C1038">
        <v>9</v>
      </c>
      <c r="D1038" s="1" t="s">
        <v>123</v>
      </c>
      <c r="E1038">
        <v>6.63</v>
      </c>
      <c r="F1038">
        <v>7.82</v>
      </c>
      <c r="G1038">
        <v>84.8</v>
      </c>
    </row>
    <row r="1039" spans="1:7" x14ac:dyDescent="0.25">
      <c r="A1039" s="2">
        <v>41913</v>
      </c>
      <c r="B1039">
        <v>2014</v>
      </c>
      <c r="C1039">
        <v>10</v>
      </c>
      <c r="D1039" s="1" t="s">
        <v>123</v>
      </c>
      <c r="E1039">
        <v>6.7</v>
      </c>
      <c r="F1039">
        <v>8.0299999999999994</v>
      </c>
      <c r="G1039">
        <v>83.4</v>
      </c>
    </row>
    <row r="1040" spans="1:7" x14ac:dyDescent="0.25">
      <c r="A1040" s="2">
        <v>41944</v>
      </c>
      <c r="B1040">
        <v>2014</v>
      </c>
      <c r="C1040">
        <v>11</v>
      </c>
      <c r="D1040" s="1" t="s">
        <v>123</v>
      </c>
      <c r="E1040">
        <v>5.74</v>
      </c>
      <c r="F1040">
        <v>6.92</v>
      </c>
      <c r="G1040">
        <v>83</v>
      </c>
    </row>
    <row r="1041" spans="1:7" x14ac:dyDescent="0.25">
      <c r="A1041" s="2">
        <v>41974</v>
      </c>
      <c r="B1041">
        <v>2014</v>
      </c>
      <c r="C1041">
        <v>12</v>
      </c>
      <c r="D1041" s="1" t="s">
        <v>123</v>
      </c>
      <c r="E1041">
        <v>5.67</v>
      </c>
      <c r="F1041">
        <v>6.79</v>
      </c>
      <c r="G1041">
        <v>83.5</v>
      </c>
    </row>
    <row r="1042" spans="1:7" x14ac:dyDescent="0.25">
      <c r="A1042" s="2">
        <v>42005</v>
      </c>
      <c r="B1042">
        <v>2015</v>
      </c>
      <c r="C1042">
        <v>1</v>
      </c>
      <c r="D1042" s="1" t="s">
        <v>123</v>
      </c>
      <c r="E1042">
        <v>5.34</v>
      </c>
      <c r="F1042">
        <v>6.46</v>
      </c>
      <c r="G1042">
        <v>82.7</v>
      </c>
    </row>
    <row r="1043" spans="1:7" x14ac:dyDescent="0.25">
      <c r="A1043" s="2">
        <v>42036</v>
      </c>
      <c r="B1043">
        <v>2015</v>
      </c>
      <c r="C1043">
        <v>2</v>
      </c>
      <c r="D1043" s="1" t="s">
        <v>123</v>
      </c>
      <c r="E1043">
        <v>5.1100000000000003</v>
      </c>
      <c r="F1043">
        <v>6.32</v>
      </c>
      <c r="G1043">
        <v>80.8</v>
      </c>
    </row>
    <row r="1044" spans="1:7" x14ac:dyDescent="0.25">
      <c r="A1044" s="2">
        <v>42064</v>
      </c>
      <c r="B1044">
        <v>2015</v>
      </c>
      <c r="C1044">
        <v>3</v>
      </c>
      <c r="D1044" s="1" t="s">
        <v>123</v>
      </c>
      <c r="E1044">
        <v>4.97</v>
      </c>
      <c r="F1044">
        <v>6.01</v>
      </c>
      <c r="G1044">
        <v>82.7</v>
      </c>
    </row>
    <row r="1045" spans="1:7" x14ac:dyDescent="0.25">
      <c r="A1045" s="2">
        <v>42095</v>
      </c>
      <c r="B1045">
        <v>2015</v>
      </c>
      <c r="C1045">
        <v>4</v>
      </c>
      <c r="D1045" s="1" t="s">
        <v>123</v>
      </c>
      <c r="E1045">
        <v>5.64</v>
      </c>
      <c r="F1045">
        <v>6.78</v>
      </c>
      <c r="G1045">
        <v>83.1</v>
      </c>
    </row>
    <row r="1046" spans="1:7" x14ac:dyDescent="0.25">
      <c r="A1046" s="2">
        <v>42125</v>
      </c>
      <c r="B1046">
        <v>2015</v>
      </c>
      <c r="C1046">
        <v>5</v>
      </c>
      <c r="D1046" s="1" t="s">
        <v>123</v>
      </c>
      <c r="E1046">
        <v>5.84</v>
      </c>
      <c r="F1046">
        <v>7.02</v>
      </c>
      <c r="G1046">
        <v>83.3</v>
      </c>
    </row>
    <row r="1047" spans="1:7" x14ac:dyDescent="0.25">
      <c r="A1047" s="2">
        <v>42156</v>
      </c>
      <c r="B1047">
        <v>2015</v>
      </c>
      <c r="C1047">
        <v>6</v>
      </c>
      <c r="D1047" s="1" t="s">
        <v>123</v>
      </c>
      <c r="E1047">
        <v>6.98</v>
      </c>
      <c r="F1047">
        <v>8.49</v>
      </c>
      <c r="G1047">
        <v>82.2</v>
      </c>
    </row>
    <row r="1048" spans="1:7" x14ac:dyDescent="0.25">
      <c r="A1048" s="2">
        <v>42186</v>
      </c>
      <c r="B1048">
        <v>2015</v>
      </c>
      <c r="C1048">
        <v>7</v>
      </c>
      <c r="D1048" s="1" t="s">
        <v>123</v>
      </c>
      <c r="E1048">
        <v>6.91</v>
      </c>
      <c r="F1048">
        <v>8.36</v>
      </c>
      <c r="G1048">
        <v>82.6</v>
      </c>
    </row>
    <row r="1049" spans="1:7" x14ac:dyDescent="0.25">
      <c r="A1049" s="2">
        <v>42217</v>
      </c>
      <c r="B1049">
        <v>2015</v>
      </c>
      <c r="C1049">
        <v>8</v>
      </c>
      <c r="D1049" s="1" t="s">
        <v>123</v>
      </c>
      <c r="E1049">
        <v>7.51</v>
      </c>
      <c r="F1049">
        <v>9.4</v>
      </c>
      <c r="G1049">
        <v>80</v>
      </c>
    </row>
    <row r="1050" spans="1:7" x14ac:dyDescent="0.25">
      <c r="A1050" s="2">
        <v>42248</v>
      </c>
      <c r="B1050">
        <v>2015</v>
      </c>
      <c r="C1050">
        <v>9</v>
      </c>
      <c r="D1050" s="1" t="s">
        <v>123</v>
      </c>
      <c r="E1050">
        <v>7.01</v>
      </c>
      <c r="F1050">
        <v>8.7200000000000006</v>
      </c>
      <c r="G1050">
        <v>80.400000000000006</v>
      </c>
    </row>
    <row r="1051" spans="1:7" x14ac:dyDescent="0.25">
      <c r="A1051" s="2">
        <v>42278</v>
      </c>
      <c r="B1051">
        <v>2015</v>
      </c>
      <c r="C1051">
        <v>10</v>
      </c>
      <c r="D1051" s="1" t="s">
        <v>123</v>
      </c>
      <c r="E1051">
        <v>6.54</v>
      </c>
      <c r="F1051">
        <v>7.99</v>
      </c>
      <c r="G1051">
        <v>81.900000000000006</v>
      </c>
    </row>
    <row r="1052" spans="1:7" x14ac:dyDescent="0.25">
      <c r="A1052" s="2">
        <v>42309</v>
      </c>
      <c r="B1052">
        <v>2015</v>
      </c>
      <c r="C1052">
        <v>11</v>
      </c>
      <c r="D1052" s="1" t="s">
        <v>123</v>
      </c>
      <c r="E1052">
        <v>6.46</v>
      </c>
      <c r="F1052">
        <v>7.55</v>
      </c>
      <c r="G1052">
        <v>85.6</v>
      </c>
    </row>
    <row r="1053" spans="1:7" x14ac:dyDescent="0.25">
      <c r="A1053" s="2">
        <v>42339</v>
      </c>
      <c r="B1053">
        <v>2015</v>
      </c>
      <c r="C1053">
        <v>12</v>
      </c>
      <c r="D1053" s="1" t="s">
        <v>123</v>
      </c>
      <c r="E1053">
        <v>5.84</v>
      </c>
      <c r="F1053">
        <v>7.19</v>
      </c>
      <c r="G1053">
        <v>81.2</v>
      </c>
    </row>
    <row r="1054" spans="1:7" x14ac:dyDescent="0.25">
      <c r="A1054" s="2">
        <v>42370</v>
      </c>
      <c r="B1054">
        <v>2016</v>
      </c>
      <c r="C1054">
        <v>1</v>
      </c>
      <c r="D1054" s="1" t="s">
        <v>123</v>
      </c>
      <c r="E1054">
        <v>5.86</v>
      </c>
      <c r="F1054">
        <v>7.22</v>
      </c>
      <c r="G1054">
        <v>81.099999999999994</v>
      </c>
    </row>
    <row r="1055" spans="1:7" x14ac:dyDescent="0.25">
      <c r="A1055" s="2">
        <v>42401</v>
      </c>
      <c r="B1055">
        <v>2016</v>
      </c>
      <c r="C1055">
        <v>2</v>
      </c>
      <c r="D1055" s="1" t="s">
        <v>123</v>
      </c>
      <c r="E1055">
        <v>5.24</v>
      </c>
      <c r="F1055">
        <v>6.68</v>
      </c>
      <c r="G1055">
        <v>78.5</v>
      </c>
    </row>
    <row r="1056" spans="1:7" x14ac:dyDescent="0.25">
      <c r="A1056" s="2">
        <v>42430</v>
      </c>
      <c r="B1056">
        <v>2016</v>
      </c>
      <c r="C1056">
        <v>3</v>
      </c>
      <c r="D1056" s="1" t="s">
        <v>123</v>
      </c>
      <c r="E1056">
        <v>5.71</v>
      </c>
      <c r="F1056">
        <v>6.8</v>
      </c>
      <c r="G1056">
        <v>83.9</v>
      </c>
    </row>
    <row r="1057" spans="1:7" x14ac:dyDescent="0.25">
      <c r="A1057" s="2">
        <v>42461</v>
      </c>
      <c r="B1057">
        <v>2016</v>
      </c>
      <c r="C1057">
        <v>4</v>
      </c>
      <c r="D1057" s="1" t="s">
        <v>123</v>
      </c>
      <c r="E1057">
        <v>6.28</v>
      </c>
      <c r="F1057">
        <v>7.93</v>
      </c>
      <c r="G1057">
        <v>79.2</v>
      </c>
    </row>
    <row r="1058" spans="1:7" x14ac:dyDescent="0.25">
      <c r="A1058" s="2">
        <v>42491</v>
      </c>
      <c r="B1058">
        <v>2016</v>
      </c>
      <c r="C1058">
        <v>5</v>
      </c>
      <c r="D1058" s="1" t="s">
        <v>123</v>
      </c>
      <c r="E1058">
        <v>6.62</v>
      </c>
      <c r="F1058">
        <v>8.06</v>
      </c>
      <c r="G1058">
        <v>82.1</v>
      </c>
    </row>
    <row r="1059" spans="1:7" x14ac:dyDescent="0.25">
      <c r="A1059" s="2">
        <v>42522</v>
      </c>
      <c r="B1059">
        <v>2016</v>
      </c>
      <c r="C1059">
        <v>6</v>
      </c>
      <c r="D1059" s="1" t="s">
        <v>123</v>
      </c>
      <c r="E1059">
        <v>7</v>
      </c>
      <c r="F1059">
        <v>8.89</v>
      </c>
      <c r="G1059">
        <v>78.7</v>
      </c>
    </row>
    <row r="1060" spans="1:7" x14ac:dyDescent="0.25">
      <c r="A1060" s="2">
        <v>42552</v>
      </c>
      <c r="B1060">
        <v>2016</v>
      </c>
      <c r="C1060">
        <v>7</v>
      </c>
      <c r="D1060" s="1" t="s">
        <v>123</v>
      </c>
      <c r="E1060">
        <v>7.53</v>
      </c>
      <c r="F1060">
        <v>9.01</v>
      </c>
      <c r="G1060">
        <v>83.6</v>
      </c>
    </row>
    <row r="1061" spans="1:7" x14ac:dyDescent="0.25">
      <c r="A1061" s="2">
        <v>42583</v>
      </c>
      <c r="B1061">
        <v>2016</v>
      </c>
      <c r="C1061">
        <v>8</v>
      </c>
      <c r="D1061" s="1" t="s">
        <v>123</v>
      </c>
      <c r="E1061">
        <v>7.35</v>
      </c>
      <c r="F1061">
        <v>8.82</v>
      </c>
      <c r="G1061">
        <v>83.3</v>
      </c>
    </row>
    <row r="1062" spans="1:7" x14ac:dyDescent="0.25">
      <c r="A1062" s="2">
        <v>42614</v>
      </c>
      <c r="B1062">
        <v>2016</v>
      </c>
      <c r="C1062">
        <v>9</v>
      </c>
      <c r="D1062" s="1" t="s">
        <v>123</v>
      </c>
      <c r="E1062">
        <v>7.09</v>
      </c>
      <c r="F1062">
        <v>8.76</v>
      </c>
      <c r="G1062">
        <v>80.8</v>
      </c>
    </row>
    <row r="1063" spans="1:7" x14ac:dyDescent="0.25">
      <c r="A1063" s="2">
        <v>42644</v>
      </c>
      <c r="B1063">
        <v>2016</v>
      </c>
      <c r="C1063">
        <v>10</v>
      </c>
      <c r="D1063" s="1" t="s">
        <v>123</v>
      </c>
      <c r="E1063">
        <v>6.82</v>
      </c>
      <c r="F1063">
        <v>8.7200000000000006</v>
      </c>
      <c r="G1063">
        <v>78.3</v>
      </c>
    </row>
    <row r="1064" spans="1:7" x14ac:dyDescent="0.25">
      <c r="A1064" s="2">
        <v>42675</v>
      </c>
      <c r="B1064">
        <v>2016</v>
      </c>
      <c r="C1064">
        <v>11</v>
      </c>
      <c r="D1064" s="1" t="s">
        <v>123</v>
      </c>
      <c r="E1064">
        <v>6.63</v>
      </c>
      <c r="F1064">
        <v>7.85</v>
      </c>
      <c r="G1064">
        <v>84.4</v>
      </c>
    </row>
    <row r="1065" spans="1:7" x14ac:dyDescent="0.25">
      <c r="A1065" s="2">
        <v>42705</v>
      </c>
      <c r="B1065">
        <v>2016</v>
      </c>
      <c r="C1065">
        <v>12</v>
      </c>
      <c r="D1065" s="1" t="s">
        <v>123</v>
      </c>
      <c r="E1065">
        <v>5.87</v>
      </c>
      <c r="F1065">
        <v>7.1</v>
      </c>
      <c r="G1065">
        <v>82.7</v>
      </c>
    </row>
    <row r="1066" spans="1:7" x14ac:dyDescent="0.25">
      <c r="A1066" s="2">
        <v>42736</v>
      </c>
      <c r="B1066">
        <v>2017</v>
      </c>
      <c r="C1066">
        <v>1</v>
      </c>
      <c r="D1066" s="1" t="s">
        <v>123</v>
      </c>
      <c r="E1066">
        <v>5.61</v>
      </c>
      <c r="F1066">
        <v>6.79</v>
      </c>
      <c r="G1066">
        <v>82.7</v>
      </c>
    </row>
    <row r="1067" spans="1:7" x14ac:dyDescent="0.25">
      <c r="A1067" s="2">
        <v>42767</v>
      </c>
      <c r="B1067">
        <v>2017</v>
      </c>
      <c r="C1067">
        <v>2</v>
      </c>
      <c r="D1067" s="1" t="s">
        <v>123</v>
      </c>
      <c r="E1067">
        <v>5.44</v>
      </c>
      <c r="F1067">
        <v>6.78</v>
      </c>
      <c r="G1067">
        <v>80.2</v>
      </c>
    </row>
    <row r="1068" spans="1:7" x14ac:dyDescent="0.25">
      <c r="A1068" s="2">
        <v>42795</v>
      </c>
      <c r="B1068">
        <v>2017</v>
      </c>
      <c r="C1068">
        <v>3</v>
      </c>
      <c r="D1068" s="1" t="s">
        <v>123</v>
      </c>
      <c r="E1068">
        <v>5.87</v>
      </c>
      <c r="F1068">
        <v>7.18</v>
      </c>
      <c r="G1068">
        <v>81.900000000000006</v>
      </c>
    </row>
    <row r="1069" spans="1:7" x14ac:dyDescent="0.25">
      <c r="A1069" s="2">
        <v>42826</v>
      </c>
      <c r="B1069">
        <v>2017</v>
      </c>
      <c r="C1069">
        <v>4</v>
      </c>
      <c r="D1069" s="1" t="s">
        <v>123</v>
      </c>
      <c r="E1069">
        <v>6.45</v>
      </c>
      <c r="F1069">
        <v>7.86</v>
      </c>
      <c r="G1069">
        <v>82.1</v>
      </c>
    </row>
    <row r="1070" spans="1:7" x14ac:dyDescent="0.25">
      <c r="A1070" s="2">
        <v>42856</v>
      </c>
      <c r="B1070">
        <v>2017</v>
      </c>
      <c r="C1070">
        <v>5</v>
      </c>
      <c r="D1070" s="1" t="s">
        <v>123</v>
      </c>
      <c r="E1070">
        <v>6.4</v>
      </c>
      <c r="F1070">
        <v>7.58</v>
      </c>
      <c r="G1070">
        <v>84.5</v>
      </c>
    </row>
    <row r="1071" spans="1:7" x14ac:dyDescent="0.25">
      <c r="A1071" s="2">
        <v>42887</v>
      </c>
      <c r="B1071">
        <v>2017</v>
      </c>
      <c r="C1071">
        <v>6</v>
      </c>
      <c r="D1071" s="1" t="s">
        <v>123</v>
      </c>
      <c r="E1071">
        <v>7.24</v>
      </c>
      <c r="F1071">
        <v>8.67</v>
      </c>
      <c r="G1071">
        <v>83.5</v>
      </c>
    </row>
    <row r="1072" spans="1:7" x14ac:dyDescent="0.25">
      <c r="A1072" s="2">
        <v>42917</v>
      </c>
      <c r="B1072">
        <v>2017</v>
      </c>
      <c r="C1072">
        <v>7</v>
      </c>
      <c r="D1072" s="1" t="s">
        <v>123</v>
      </c>
      <c r="E1072">
        <v>7.76</v>
      </c>
      <c r="F1072">
        <v>9.61</v>
      </c>
      <c r="G1072">
        <v>80.7</v>
      </c>
    </row>
    <row r="1073" spans="1:7" x14ac:dyDescent="0.25">
      <c r="A1073" s="2">
        <v>42948</v>
      </c>
      <c r="B1073">
        <v>2017</v>
      </c>
      <c r="C1073">
        <v>8</v>
      </c>
      <c r="D1073" s="1" t="s">
        <v>123</v>
      </c>
      <c r="E1073">
        <v>7.61</v>
      </c>
      <c r="F1073">
        <v>9.32</v>
      </c>
      <c r="G1073">
        <v>81.7</v>
      </c>
    </row>
    <row r="1074" spans="1:7" x14ac:dyDescent="0.25">
      <c r="A1074" s="2">
        <v>42979</v>
      </c>
      <c r="B1074">
        <v>2017</v>
      </c>
      <c r="C1074">
        <v>9</v>
      </c>
      <c r="D1074" s="1" t="s">
        <v>123</v>
      </c>
      <c r="E1074">
        <v>7.25</v>
      </c>
      <c r="F1074">
        <v>8.89</v>
      </c>
      <c r="G1074">
        <v>81.5</v>
      </c>
    </row>
    <row r="1075" spans="1:7" x14ac:dyDescent="0.25">
      <c r="A1075" s="2">
        <v>43009</v>
      </c>
      <c r="B1075">
        <v>2017</v>
      </c>
      <c r="C1075">
        <v>10</v>
      </c>
      <c r="D1075" s="1" t="s">
        <v>123</v>
      </c>
      <c r="E1075">
        <v>7.48</v>
      </c>
      <c r="F1075">
        <v>9.07</v>
      </c>
      <c r="G1075">
        <v>82.5</v>
      </c>
    </row>
    <row r="1076" spans="1:7" x14ac:dyDescent="0.25">
      <c r="A1076" s="2">
        <v>43040</v>
      </c>
      <c r="B1076">
        <v>2017</v>
      </c>
      <c r="C1076">
        <v>11</v>
      </c>
      <c r="D1076" s="1" t="s">
        <v>123</v>
      </c>
      <c r="E1076">
        <v>6.44</v>
      </c>
      <c r="F1076">
        <v>8.17</v>
      </c>
      <c r="G1076">
        <v>78.900000000000006</v>
      </c>
    </row>
    <row r="1077" spans="1:7" x14ac:dyDescent="0.25">
      <c r="A1077" s="2">
        <v>43070</v>
      </c>
      <c r="B1077">
        <v>2017</v>
      </c>
      <c r="C1077">
        <v>12</v>
      </c>
      <c r="D1077" s="1" t="s">
        <v>123</v>
      </c>
      <c r="E1077">
        <v>6.54</v>
      </c>
      <c r="F1077">
        <v>8</v>
      </c>
      <c r="G1077">
        <v>81.8</v>
      </c>
    </row>
    <row r="1078" spans="1:7" x14ac:dyDescent="0.25">
      <c r="A1078" s="2">
        <v>43101</v>
      </c>
      <c r="B1078">
        <v>2018</v>
      </c>
      <c r="C1078">
        <v>1</v>
      </c>
      <c r="D1078" s="1" t="s">
        <v>123</v>
      </c>
      <c r="E1078">
        <v>5.76</v>
      </c>
      <c r="F1078">
        <v>7.07</v>
      </c>
      <c r="G1078">
        <v>81.5</v>
      </c>
    </row>
    <row r="1079" spans="1:7" x14ac:dyDescent="0.25">
      <c r="A1079" s="2">
        <v>43132</v>
      </c>
      <c r="B1079">
        <v>2018</v>
      </c>
      <c r="C1079">
        <v>2</v>
      </c>
      <c r="D1079" s="1" t="s">
        <v>123</v>
      </c>
      <c r="E1079">
        <v>5.51</v>
      </c>
      <c r="F1079">
        <v>6.49</v>
      </c>
      <c r="G1079">
        <v>84.8</v>
      </c>
    </row>
    <row r="1080" spans="1:7" x14ac:dyDescent="0.25">
      <c r="A1080" s="2">
        <v>43160</v>
      </c>
      <c r="B1080">
        <v>2018</v>
      </c>
      <c r="C1080">
        <v>3</v>
      </c>
      <c r="D1080" s="1" t="s">
        <v>123</v>
      </c>
      <c r="E1080">
        <v>5.84</v>
      </c>
      <c r="F1080">
        <v>6.89</v>
      </c>
      <c r="G1080">
        <v>84.7</v>
      </c>
    </row>
    <row r="1081" spans="1:7" x14ac:dyDescent="0.25">
      <c r="A1081" s="2">
        <v>43191</v>
      </c>
      <c r="B1081">
        <v>2018</v>
      </c>
      <c r="C1081">
        <v>4</v>
      </c>
      <c r="D1081" s="1" t="s">
        <v>123</v>
      </c>
      <c r="E1081">
        <v>6.31</v>
      </c>
      <c r="F1081">
        <v>7.44</v>
      </c>
      <c r="G1081">
        <v>84.9</v>
      </c>
    </row>
    <row r="1082" spans="1:7" x14ac:dyDescent="0.25">
      <c r="A1082" s="2">
        <v>43221</v>
      </c>
      <c r="B1082">
        <v>2018</v>
      </c>
      <c r="C1082">
        <v>5</v>
      </c>
      <c r="D1082" s="1" t="s">
        <v>123</v>
      </c>
      <c r="E1082">
        <v>6.89</v>
      </c>
      <c r="F1082">
        <v>8.23</v>
      </c>
      <c r="G1082">
        <v>83.7</v>
      </c>
    </row>
    <row r="1083" spans="1:7" x14ac:dyDescent="0.25">
      <c r="A1083" s="2">
        <v>43252</v>
      </c>
      <c r="B1083">
        <v>2018</v>
      </c>
      <c r="C1083">
        <v>6</v>
      </c>
      <c r="D1083" s="1" t="s">
        <v>123</v>
      </c>
      <c r="E1083">
        <v>7.53</v>
      </c>
      <c r="F1083">
        <v>9.0399999999999991</v>
      </c>
      <c r="G1083">
        <v>83.2</v>
      </c>
    </row>
    <row r="1084" spans="1:7" x14ac:dyDescent="0.25">
      <c r="A1084" s="2">
        <v>43282</v>
      </c>
      <c r="B1084">
        <v>2018</v>
      </c>
      <c r="C1084">
        <v>7</v>
      </c>
      <c r="D1084" s="1" t="s">
        <v>123</v>
      </c>
      <c r="E1084">
        <v>7.85</v>
      </c>
      <c r="F1084">
        <v>9.6300000000000008</v>
      </c>
      <c r="G1084">
        <v>81.5</v>
      </c>
    </row>
    <row r="1085" spans="1:7" x14ac:dyDescent="0.25">
      <c r="A1085" s="2">
        <v>43313</v>
      </c>
      <c r="B1085">
        <v>2018</v>
      </c>
      <c r="C1085">
        <v>8</v>
      </c>
      <c r="D1085" s="1" t="s">
        <v>123</v>
      </c>
      <c r="E1085">
        <v>8.4</v>
      </c>
      <c r="F1085">
        <v>10.47</v>
      </c>
      <c r="G1085">
        <v>80.2</v>
      </c>
    </row>
    <row r="1086" spans="1:7" x14ac:dyDescent="0.25">
      <c r="A1086" s="2">
        <v>43344</v>
      </c>
      <c r="B1086">
        <v>2018</v>
      </c>
      <c r="C1086">
        <v>9</v>
      </c>
      <c r="D1086" s="1" t="s">
        <v>123</v>
      </c>
      <c r="E1086">
        <v>7.82</v>
      </c>
      <c r="F1086">
        <v>9.5299999999999994</v>
      </c>
      <c r="G1086">
        <v>82</v>
      </c>
    </row>
    <row r="1087" spans="1:7" x14ac:dyDescent="0.25">
      <c r="A1087" s="2">
        <v>43374</v>
      </c>
      <c r="B1087">
        <v>2018</v>
      </c>
      <c r="C1087">
        <v>10</v>
      </c>
      <c r="D1087" s="1" t="s">
        <v>123</v>
      </c>
      <c r="E1087">
        <v>7.55</v>
      </c>
      <c r="F1087">
        <v>9.3000000000000007</v>
      </c>
      <c r="G1087">
        <v>81.099999999999994</v>
      </c>
    </row>
    <row r="1088" spans="1:7" x14ac:dyDescent="0.25">
      <c r="A1088" s="2">
        <v>43405</v>
      </c>
      <c r="B1088">
        <v>2018</v>
      </c>
      <c r="C1088">
        <v>11</v>
      </c>
      <c r="D1088" s="1" t="s">
        <v>123</v>
      </c>
      <c r="E1088">
        <v>7.02</v>
      </c>
      <c r="F1088">
        <v>8.6</v>
      </c>
      <c r="G1088">
        <v>81.7</v>
      </c>
    </row>
    <row r="1089" spans="1:7" x14ac:dyDescent="0.25">
      <c r="A1089" s="2">
        <v>43435</v>
      </c>
      <c r="B1089">
        <v>2018</v>
      </c>
      <c r="C1089">
        <v>12</v>
      </c>
      <c r="D1089" s="1" t="s">
        <v>123</v>
      </c>
      <c r="E1089">
        <v>6.16</v>
      </c>
      <c r="F1089">
        <v>7.51</v>
      </c>
      <c r="G1089">
        <v>82</v>
      </c>
    </row>
    <row r="1090" spans="1:7" x14ac:dyDescent="0.25">
      <c r="A1090" s="2">
        <v>43466</v>
      </c>
      <c r="B1090">
        <v>2019</v>
      </c>
      <c r="C1090">
        <v>1</v>
      </c>
      <c r="D1090" s="1" t="s">
        <v>123</v>
      </c>
      <c r="E1090">
        <v>5.89</v>
      </c>
      <c r="F1090">
        <v>7.5</v>
      </c>
      <c r="G1090">
        <v>78.5</v>
      </c>
    </row>
    <row r="1091" spans="1:7" x14ac:dyDescent="0.25">
      <c r="A1091" s="2">
        <v>43497</v>
      </c>
      <c r="B1091">
        <v>2019</v>
      </c>
      <c r="C1091">
        <v>2</v>
      </c>
      <c r="D1091" s="1" t="s">
        <v>123</v>
      </c>
      <c r="E1091">
        <v>5.65</v>
      </c>
      <c r="F1091">
        <v>6.81</v>
      </c>
      <c r="G1091">
        <v>83</v>
      </c>
    </row>
    <row r="1092" spans="1:7" x14ac:dyDescent="0.25">
      <c r="A1092" s="2">
        <v>43525</v>
      </c>
      <c r="B1092">
        <v>2019</v>
      </c>
      <c r="C1092">
        <v>3</v>
      </c>
      <c r="D1092" s="1" t="s">
        <v>123</v>
      </c>
      <c r="E1092">
        <v>5.52</v>
      </c>
      <c r="F1092">
        <v>6.65</v>
      </c>
      <c r="G1092">
        <v>83.1</v>
      </c>
    </row>
    <row r="1093" spans="1:7" x14ac:dyDescent="0.25">
      <c r="A1093" s="2">
        <v>43556</v>
      </c>
      <c r="B1093">
        <v>2019</v>
      </c>
      <c r="C1093">
        <v>4</v>
      </c>
      <c r="D1093" s="1" t="s">
        <v>123</v>
      </c>
      <c r="E1093">
        <v>5.13</v>
      </c>
      <c r="F1093">
        <v>6.47</v>
      </c>
      <c r="G1093">
        <v>79.3</v>
      </c>
    </row>
    <row r="1094" spans="1:7" x14ac:dyDescent="0.25">
      <c r="A1094" s="2">
        <v>43586</v>
      </c>
      <c r="B1094">
        <v>2019</v>
      </c>
      <c r="C1094">
        <v>5</v>
      </c>
      <c r="D1094" s="1" t="s">
        <v>123</v>
      </c>
      <c r="E1094">
        <v>5.84</v>
      </c>
      <c r="F1094">
        <v>7.3</v>
      </c>
      <c r="G1094">
        <v>79.900000000000006</v>
      </c>
    </row>
    <row r="1095" spans="1:7" x14ac:dyDescent="0.25">
      <c r="A1095" s="2">
        <v>43617</v>
      </c>
      <c r="B1095">
        <v>2019</v>
      </c>
      <c r="C1095">
        <v>6</v>
      </c>
      <c r="D1095" s="1" t="s">
        <v>123</v>
      </c>
      <c r="E1095">
        <v>5.61</v>
      </c>
      <c r="F1095">
        <v>6.96</v>
      </c>
      <c r="G1095">
        <v>80.599999999999994</v>
      </c>
    </row>
    <row r="1096" spans="1:7" x14ac:dyDescent="0.25">
      <c r="A1096" s="2">
        <v>43647</v>
      </c>
      <c r="B1096">
        <v>2019</v>
      </c>
      <c r="C1096">
        <v>7</v>
      </c>
      <c r="D1096" s="1" t="s">
        <v>123</v>
      </c>
      <c r="E1096">
        <v>5.38</v>
      </c>
      <c r="F1096">
        <v>6.66</v>
      </c>
      <c r="G1096">
        <v>80.7</v>
      </c>
    </row>
    <row r="1097" spans="1:7" x14ac:dyDescent="0.25">
      <c r="A1097" s="2">
        <v>43678</v>
      </c>
      <c r="B1097">
        <v>2019</v>
      </c>
      <c r="C1097">
        <v>8</v>
      </c>
      <c r="D1097" s="1" t="s">
        <v>123</v>
      </c>
      <c r="E1097">
        <v>5.12</v>
      </c>
      <c r="F1097">
        <v>6.22</v>
      </c>
      <c r="G1097">
        <v>82.3</v>
      </c>
    </row>
    <row r="1098" spans="1:7" x14ac:dyDescent="0.25">
      <c r="A1098" s="2">
        <v>43709</v>
      </c>
      <c r="B1098">
        <v>2019</v>
      </c>
      <c r="C1098">
        <v>9</v>
      </c>
      <c r="D1098" s="1" t="s">
        <v>123</v>
      </c>
      <c r="E1098">
        <v>4.46</v>
      </c>
      <c r="F1098">
        <v>5.58</v>
      </c>
      <c r="G1098">
        <v>79.900000000000006</v>
      </c>
    </row>
    <row r="1099" spans="1:7" x14ac:dyDescent="0.25">
      <c r="A1099" s="2">
        <v>43739</v>
      </c>
      <c r="B1099">
        <v>2019</v>
      </c>
      <c r="C1099">
        <v>10</v>
      </c>
      <c r="D1099" s="1" t="s">
        <v>123</v>
      </c>
      <c r="E1099">
        <v>3.93</v>
      </c>
      <c r="F1099">
        <v>4.9400000000000004</v>
      </c>
      <c r="G1099">
        <v>79.599999999999994</v>
      </c>
    </row>
    <row r="1100" spans="1:7" x14ac:dyDescent="0.25">
      <c r="A1100" s="2">
        <v>43770</v>
      </c>
      <c r="B1100">
        <v>2019</v>
      </c>
      <c r="C1100">
        <v>11</v>
      </c>
      <c r="D1100" s="1" t="s">
        <v>123</v>
      </c>
      <c r="E1100">
        <v>3.29</v>
      </c>
      <c r="F1100">
        <v>3.77</v>
      </c>
      <c r="G1100">
        <v>87.3</v>
      </c>
    </row>
    <row r="1101" spans="1:7" x14ac:dyDescent="0.25">
      <c r="A1101" s="2">
        <v>43800</v>
      </c>
      <c r="B1101">
        <v>2019</v>
      </c>
      <c r="C1101">
        <v>12</v>
      </c>
      <c r="D1101" s="1" t="s">
        <v>123</v>
      </c>
      <c r="E1101">
        <v>2.77</v>
      </c>
      <c r="F1101">
        <v>3.32</v>
      </c>
      <c r="G1101">
        <v>83.4</v>
      </c>
    </row>
    <row r="1102" spans="1:7" x14ac:dyDescent="0.25">
      <c r="A1102" s="2">
        <v>43831</v>
      </c>
      <c r="B1102">
        <v>2020</v>
      </c>
      <c r="C1102">
        <v>1</v>
      </c>
      <c r="D1102" s="1" t="s">
        <v>123</v>
      </c>
      <c r="E1102">
        <v>2.17</v>
      </c>
      <c r="F1102">
        <v>2.78</v>
      </c>
      <c r="G1102">
        <v>78.099999999999994</v>
      </c>
    </row>
    <row r="1103" spans="1:7" x14ac:dyDescent="0.25">
      <c r="A1103" s="2">
        <v>43862</v>
      </c>
      <c r="B1103">
        <v>2020</v>
      </c>
      <c r="C1103">
        <v>2</v>
      </c>
      <c r="D1103" s="1" t="s">
        <v>123</v>
      </c>
      <c r="E1103">
        <v>2.13</v>
      </c>
      <c r="F1103">
        <v>2.52</v>
      </c>
      <c r="G1103">
        <v>84.6</v>
      </c>
    </row>
    <row r="1104" spans="1:7" x14ac:dyDescent="0.25">
      <c r="A1104" s="2">
        <v>43891</v>
      </c>
      <c r="B1104">
        <v>2020</v>
      </c>
      <c r="C1104">
        <v>3</v>
      </c>
      <c r="D1104" s="1" t="s">
        <v>123</v>
      </c>
      <c r="E1104">
        <v>0.5</v>
      </c>
      <c r="F1104">
        <v>0.91</v>
      </c>
      <c r="G1104">
        <v>55</v>
      </c>
    </row>
    <row r="1105" spans="1:7" x14ac:dyDescent="0.25">
      <c r="A1105" s="2">
        <v>43922</v>
      </c>
      <c r="B1105">
        <v>2020</v>
      </c>
      <c r="C1105">
        <v>4</v>
      </c>
      <c r="D1105" s="1" t="s">
        <v>123</v>
      </c>
      <c r="E1105">
        <v>0.5</v>
      </c>
      <c r="F1105">
        <v>0.91</v>
      </c>
      <c r="G1105">
        <v>55</v>
      </c>
    </row>
    <row r="1106" spans="1:7" x14ac:dyDescent="0.25">
      <c r="A1106" s="2">
        <v>43952</v>
      </c>
      <c r="B1106">
        <v>2020</v>
      </c>
      <c r="C1106">
        <v>5</v>
      </c>
      <c r="D1106" s="1" t="s">
        <v>123</v>
      </c>
      <c r="E1106">
        <v>0.5</v>
      </c>
      <c r="F1106">
        <v>0.91</v>
      </c>
      <c r="G1106">
        <v>55</v>
      </c>
    </row>
    <row r="1107" spans="1:7" x14ac:dyDescent="0.25">
      <c r="A1107" s="2">
        <v>43983</v>
      </c>
      <c r="B1107">
        <v>2020</v>
      </c>
      <c r="C1107">
        <v>6</v>
      </c>
      <c r="D1107" s="1" t="s">
        <v>123</v>
      </c>
      <c r="E1107">
        <v>0.5</v>
      </c>
      <c r="F1107">
        <v>0.91</v>
      </c>
      <c r="G1107">
        <v>55</v>
      </c>
    </row>
    <row r="1108" spans="1:7" x14ac:dyDescent="0.25">
      <c r="A1108" s="2">
        <v>44013</v>
      </c>
      <c r="B1108">
        <v>2020</v>
      </c>
      <c r="C1108">
        <v>7</v>
      </c>
      <c r="D1108" s="1" t="s">
        <v>123</v>
      </c>
      <c r="E1108">
        <v>3.45</v>
      </c>
      <c r="F1108">
        <v>6.27</v>
      </c>
      <c r="G1108">
        <v>55</v>
      </c>
    </row>
    <row r="1109" spans="1:7" x14ac:dyDescent="0.25">
      <c r="A1109" s="2">
        <v>44044</v>
      </c>
      <c r="B1109">
        <v>2020</v>
      </c>
      <c r="C1109">
        <v>8</v>
      </c>
      <c r="D1109" s="1" t="s">
        <v>123</v>
      </c>
      <c r="E1109">
        <v>1.29</v>
      </c>
      <c r="F1109">
        <v>2.35</v>
      </c>
      <c r="G1109">
        <v>55</v>
      </c>
    </row>
    <row r="1110" spans="1:7" x14ac:dyDescent="0.25">
      <c r="A1110" s="2">
        <v>44075</v>
      </c>
      <c r="B1110">
        <v>2020</v>
      </c>
      <c r="C1110">
        <v>9</v>
      </c>
      <c r="D1110" s="1" t="s">
        <v>123</v>
      </c>
      <c r="E1110">
        <v>1.34</v>
      </c>
      <c r="F1110">
        <v>2.44</v>
      </c>
      <c r="G1110">
        <v>55</v>
      </c>
    </row>
    <row r="1111" spans="1:7" x14ac:dyDescent="0.25">
      <c r="A1111" s="2">
        <v>44105</v>
      </c>
      <c r="B1111">
        <v>2020</v>
      </c>
      <c r="C1111">
        <v>10</v>
      </c>
      <c r="D1111" s="1" t="s">
        <v>123</v>
      </c>
      <c r="E1111">
        <v>1.28</v>
      </c>
      <c r="F1111">
        <v>2.33</v>
      </c>
      <c r="G1111">
        <v>55</v>
      </c>
    </row>
    <row r="1112" spans="1:7" x14ac:dyDescent="0.25">
      <c r="A1112" s="2">
        <v>44136</v>
      </c>
      <c r="B1112">
        <v>2020</v>
      </c>
      <c r="C1112">
        <v>11</v>
      </c>
      <c r="D1112" s="1" t="s">
        <v>123</v>
      </c>
      <c r="E1112">
        <v>1.26</v>
      </c>
      <c r="F1112">
        <v>2.2999999999999998</v>
      </c>
      <c r="G1112">
        <v>55</v>
      </c>
    </row>
    <row r="1113" spans="1:7" x14ac:dyDescent="0.25">
      <c r="A1113" s="2">
        <v>44166</v>
      </c>
      <c r="B1113">
        <v>2020</v>
      </c>
      <c r="C1113">
        <v>12</v>
      </c>
      <c r="D1113" s="1" t="s">
        <v>123</v>
      </c>
      <c r="E1113">
        <v>1.18</v>
      </c>
      <c r="F1113">
        <v>2.15</v>
      </c>
      <c r="G1113">
        <v>55</v>
      </c>
    </row>
    <row r="1114" spans="1:7" x14ac:dyDescent="0.25">
      <c r="A1114" s="2">
        <v>44197</v>
      </c>
      <c r="B1114">
        <v>2021</v>
      </c>
      <c r="C1114">
        <v>1</v>
      </c>
      <c r="D1114" s="1" t="s">
        <v>123</v>
      </c>
      <c r="E1114">
        <v>3.18</v>
      </c>
      <c r="F1114">
        <v>3.81</v>
      </c>
      <c r="G1114">
        <v>83.5</v>
      </c>
    </row>
    <row r="1115" spans="1:7" x14ac:dyDescent="0.25">
      <c r="A1115" s="2">
        <v>44228</v>
      </c>
      <c r="B1115">
        <v>2021</v>
      </c>
      <c r="C1115">
        <v>2</v>
      </c>
      <c r="D1115" s="1" t="s">
        <v>123</v>
      </c>
      <c r="E1115">
        <v>1.49</v>
      </c>
      <c r="F1115">
        <v>1.8</v>
      </c>
      <c r="G1115">
        <v>82.9</v>
      </c>
    </row>
    <row r="1116" spans="1:7" x14ac:dyDescent="0.25">
      <c r="A1116" s="2">
        <v>44256</v>
      </c>
      <c r="B1116">
        <v>2021</v>
      </c>
      <c r="C1116">
        <v>3</v>
      </c>
      <c r="D1116" s="1" t="s">
        <v>123</v>
      </c>
      <c r="E1116">
        <v>1.56</v>
      </c>
      <c r="F1116">
        <v>1.9</v>
      </c>
      <c r="G1116">
        <v>82.1</v>
      </c>
    </row>
    <row r="1117" spans="1:7" x14ac:dyDescent="0.25">
      <c r="A1117" s="2">
        <v>44287</v>
      </c>
      <c r="B1117">
        <v>2021</v>
      </c>
      <c r="C1117">
        <v>4</v>
      </c>
      <c r="D1117" s="1" t="s">
        <v>123</v>
      </c>
      <c r="E1117">
        <v>1.73</v>
      </c>
      <c r="F1117">
        <v>2.06</v>
      </c>
      <c r="G1117">
        <v>83.9</v>
      </c>
    </row>
    <row r="1118" spans="1:7" x14ac:dyDescent="0.25">
      <c r="A1118" s="2">
        <v>44317</v>
      </c>
      <c r="B1118">
        <v>2021</v>
      </c>
      <c r="C1118">
        <v>5</v>
      </c>
      <c r="D1118" s="1" t="s">
        <v>123</v>
      </c>
      <c r="E1118">
        <v>1.93</v>
      </c>
      <c r="F1118">
        <v>2.36</v>
      </c>
      <c r="G1118">
        <v>81.8</v>
      </c>
    </row>
    <row r="1119" spans="1:7" x14ac:dyDescent="0.25">
      <c r="A1119" s="2">
        <v>44348</v>
      </c>
      <c r="B1119">
        <v>2021</v>
      </c>
      <c r="C1119">
        <v>6</v>
      </c>
      <c r="D1119" s="1" t="s">
        <v>123</v>
      </c>
      <c r="E1119">
        <v>2.15</v>
      </c>
      <c r="F1119">
        <v>2.61</v>
      </c>
      <c r="G1119">
        <v>82.5</v>
      </c>
    </row>
    <row r="1120" spans="1:7" x14ac:dyDescent="0.25">
      <c r="A1120" s="2">
        <v>44378</v>
      </c>
      <c r="B1120">
        <v>2021</v>
      </c>
      <c r="C1120">
        <v>7</v>
      </c>
      <c r="D1120" s="1" t="s">
        <v>123</v>
      </c>
      <c r="E1120">
        <v>5.04</v>
      </c>
      <c r="F1120">
        <v>6.1</v>
      </c>
      <c r="G1120">
        <v>82.6</v>
      </c>
    </row>
    <row r="1121" spans="1:7" x14ac:dyDescent="0.25">
      <c r="A1121" s="2">
        <v>44409</v>
      </c>
      <c r="B1121">
        <v>2021</v>
      </c>
      <c r="C1121">
        <v>8</v>
      </c>
      <c r="D1121" s="1" t="s">
        <v>123</v>
      </c>
      <c r="E1121">
        <v>3.37</v>
      </c>
      <c r="F1121">
        <v>4.1900000000000004</v>
      </c>
      <c r="G1121">
        <v>80.5</v>
      </c>
    </row>
    <row r="1122" spans="1:7" x14ac:dyDescent="0.25">
      <c r="A1122" s="2">
        <v>44440</v>
      </c>
      <c r="B1122">
        <v>2021</v>
      </c>
      <c r="C1122">
        <v>9</v>
      </c>
      <c r="D1122" s="1" t="s">
        <v>123</v>
      </c>
      <c r="E1122">
        <v>3.44</v>
      </c>
      <c r="F1122">
        <v>3.92</v>
      </c>
      <c r="G1122">
        <v>87.7</v>
      </c>
    </row>
    <row r="1123" spans="1:7" x14ac:dyDescent="0.25">
      <c r="A1123" s="2">
        <v>44470</v>
      </c>
      <c r="B1123">
        <v>2021</v>
      </c>
      <c r="C1123">
        <v>10</v>
      </c>
      <c r="D1123" s="1" t="s">
        <v>123</v>
      </c>
      <c r="E1123">
        <v>3.24</v>
      </c>
      <c r="F1123">
        <v>3.94</v>
      </c>
      <c r="G1123">
        <v>82.1</v>
      </c>
    </row>
    <row r="1124" spans="1:7" x14ac:dyDescent="0.25">
      <c r="A1124" s="2">
        <v>44501</v>
      </c>
      <c r="B1124">
        <v>2021</v>
      </c>
      <c r="C1124">
        <v>11</v>
      </c>
      <c r="D1124" s="1" t="s">
        <v>123</v>
      </c>
      <c r="E1124">
        <v>3.07</v>
      </c>
      <c r="F1124">
        <v>3.79</v>
      </c>
      <c r="G1124">
        <v>81</v>
      </c>
    </row>
    <row r="1125" spans="1:7" x14ac:dyDescent="0.25">
      <c r="A1125" s="2">
        <v>44531</v>
      </c>
      <c r="B1125">
        <v>2021</v>
      </c>
      <c r="C1125">
        <v>12</v>
      </c>
      <c r="D1125" s="1" t="s">
        <v>123</v>
      </c>
      <c r="E1125">
        <v>3.08</v>
      </c>
      <c r="F1125">
        <v>3.82</v>
      </c>
      <c r="G1125">
        <v>80.7</v>
      </c>
    </row>
    <row r="1126" spans="1:7" x14ac:dyDescent="0.25">
      <c r="A1126" s="2">
        <v>44562</v>
      </c>
      <c r="B1126">
        <v>2022</v>
      </c>
      <c r="C1126">
        <v>1</v>
      </c>
      <c r="D1126" s="1" t="s">
        <v>123</v>
      </c>
      <c r="E1126">
        <v>4.29</v>
      </c>
      <c r="F1126">
        <v>5.44</v>
      </c>
      <c r="G1126">
        <v>78.8</v>
      </c>
    </row>
    <row r="1127" spans="1:7" x14ac:dyDescent="0.25">
      <c r="A1127" s="2">
        <v>44593</v>
      </c>
      <c r="B1127">
        <v>2022</v>
      </c>
      <c r="C1127">
        <v>2</v>
      </c>
      <c r="D1127" s="1" t="s">
        <v>123</v>
      </c>
      <c r="E1127">
        <v>4.22</v>
      </c>
      <c r="F1127">
        <v>5.37</v>
      </c>
      <c r="G1127">
        <v>78.599999999999994</v>
      </c>
    </row>
    <row r="1128" spans="1:7" x14ac:dyDescent="0.25">
      <c r="A1128" s="2">
        <v>44621</v>
      </c>
      <c r="B1128">
        <v>2022</v>
      </c>
      <c r="C1128">
        <v>3</v>
      </c>
      <c r="D1128" s="1" t="s">
        <v>123</v>
      </c>
      <c r="E1128">
        <v>4.58</v>
      </c>
      <c r="F1128">
        <v>5.23</v>
      </c>
      <c r="G1128">
        <v>87.6</v>
      </c>
    </row>
    <row r="1129" spans="1:7" x14ac:dyDescent="0.25">
      <c r="A1129" s="2">
        <v>44652</v>
      </c>
      <c r="B1129">
        <v>2022</v>
      </c>
      <c r="C1129">
        <v>4</v>
      </c>
      <c r="D1129" s="1" t="s">
        <v>123</v>
      </c>
      <c r="E1129">
        <v>4.8</v>
      </c>
      <c r="F1129">
        <v>6.11</v>
      </c>
      <c r="G1129">
        <v>78.7</v>
      </c>
    </row>
    <row r="1130" spans="1:7" x14ac:dyDescent="0.25">
      <c r="A1130" s="2">
        <v>44682</v>
      </c>
      <c r="B1130">
        <v>2022</v>
      </c>
      <c r="C1130">
        <v>5</v>
      </c>
      <c r="D1130" s="1" t="s">
        <v>123</v>
      </c>
      <c r="E1130">
        <v>5.48</v>
      </c>
      <c r="F1130">
        <v>6.8</v>
      </c>
      <c r="G1130">
        <v>80.5</v>
      </c>
    </row>
    <row r="1131" spans="1:7" x14ac:dyDescent="0.25">
      <c r="A1131" s="2">
        <v>44713</v>
      </c>
      <c r="B1131">
        <v>2022</v>
      </c>
      <c r="C1131">
        <v>6</v>
      </c>
      <c r="D1131" s="1" t="s">
        <v>123</v>
      </c>
      <c r="E1131">
        <v>6.05</v>
      </c>
      <c r="F1131">
        <v>7.43</v>
      </c>
      <c r="G1131">
        <v>81.400000000000006</v>
      </c>
    </row>
    <row r="1132" spans="1:7" x14ac:dyDescent="0.25">
      <c r="A1132" s="2">
        <v>44743</v>
      </c>
      <c r="B1132">
        <v>2022</v>
      </c>
      <c r="C1132">
        <v>7</v>
      </c>
      <c r="D1132" s="1" t="s">
        <v>123</v>
      </c>
      <c r="E1132">
        <v>6.1</v>
      </c>
      <c r="F1132">
        <v>7.47</v>
      </c>
      <c r="G1132">
        <v>81.599999999999994</v>
      </c>
    </row>
    <row r="1133" spans="1:7" x14ac:dyDescent="0.25">
      <c r="A1133" s="2">
        <v>44774</v>
      </c>
      <c r="B1133">
        <v>2022</v>
      </c>
      <c r="C1133">
        <v>8</v>
      </c>
      <c r="D1133" s="1" t="s">
        <v>123</v>
      </c>
      <c r="E1133">
        <v>6.57</v>
      </c>
      <c r="F1133">
        <v>8.06</v>
      </c>
      <c r="G1133">
        <v>81.5</v>
      </c>
    </row>
    <row r="1134" spans="1:7" x14ac:dyDescent="0.25">
      <c r="A1134" s="2">
        <v>44805</v>
      </c>
      <c r="B1134">
        <v>2022</v>
      </c>
      <c r="C1134">
        <v>9</v>
      </c>
      <c r="D1134" s="1" t="s">
        <v>123</v>
      </c>
      <c r="E1134">
        <v>6.31</v>
      </c>
      <c r="F1134">
        <v>7.73</v>
      </c>
      <c r="G1134">
        <v>81.599999999999994</v>
      </c>
    </row>
    <row r="1135" spans="1:7" x14ac:dyDescent="0.25">
      <c r="A1135" s="2">
        <v>44835</v>
      </c>
      <c r="B1135">
        <v>2022</v>
      </c>
      <c r="C1135">
        <v>10</v>
      </c>
      <c r="D1135" s="1" t="s">
        <v>123</v>
      </c>
      <c r="E1135">
        <v>5.95</v>
      </c>
      <c r="F1135">
        <v>7.19</v>
      </c>
      <c r="G1135">
        <v>82.8</v>
      </c>
    </row>
    <row r="1136" spans="1:7" x14ac:dyDescent="0.25">
      <c r="A1136" s="2">
        <v>44866</v>
      </c>
      <c r="B1136">
        <v>2022</v>
      </c>
      <c r="C1136">
        <v>11</v>
      </c>
      <c r="D1136" s="1" t="s">
        <v>123</v>
      </c>
      <c r="E1136">
        <v>5.53</v>
      </c>
      <c r="F1136">
        <v>6.82</v>
      </c>
      <c r="G1136">
        <v>81.099999999999994</v>
      </c>
    </row>
    <row r="1137" spans="1:7" x14ac:dyDescent="0.25">
      <c r="A1137" s="2">
        <v>44896</v>
      </c>
      <c r="B1137">
        <v>2022</v>
      </c>
      <c r="C1137">
        <v>12</v>
      </c>
      <c r="D1137" s="1" t="s">
        <v>123</v>
      </c>
      <c r="E1137">
        <v>5.6</v>
      </c>
      <c r="F1137">
        <v>6.78</v>
      </c>
      <c r="G1137">
        <v>82.6</v>
      </c>
    </row>
    <row r="1138" spans="1:7" x14ac:dyDescent="0.25">
      <c r="A1138" s="2">
        <v>44927</v>
      </c>
      <c r="B1138">
        <v>2023</v>
      </c>
      <c r="C1138">
        <v>1</v>
      </c>
      <c r="D1138" s="1" t="s">
        <v>123</v>
      </c>
      <c r="E1138">
        <v>5.31</v>
      </c>
      <c r="F1138">
        <v>6.49</v>
      </c>
      <c r="G1138">
        <v>81.900000000000006</v>
      </c>
    </row>
    <row r="1139" spans="1:7" x14ac:dyDescent="0.25">
      <c r="A1139" s="2">
        <v>44958</v>
      </c>
      <c r="B1139">
        <v>2023</v>
      </c>
      <c r="C1139">
        <v>2</v>
      </c>
      <c r="D1139" s="1" t="s">
        <v>123</v>
      </c>
      <c r="E1139">
        <v>5.36</v>
      </c>
      <c r="F1139">
        <v>6.39</v>
      </c>
      <c r="G1139">
        <v>83.8</v>
      </c>
    </row>
    <row r="1140" spans="1:7" x14ac:dyDescent="0.25">
      <c r="A1140" s="2">
        <v>44986</v>
      </c>
      <c r="B1140">
        <v>2023</v>
      </c>
      <c r="C1140">
        <v>3</v>
      </c>
      <c r="D1140" s="1" t="s">
        <v>123</v>
      </c>
      <c r="E1140">
        <v>5.44</v>
      </c>
      <c r="F1140">
        <v>6.48</v>
      </c>
      <c r="G1140">
        <v>83.9</v>
      </c>
    </row>
    <row r="1141" spans="1:7" x14ac:dyDescent="0.25">
      <c r="A1141" s="2">
        <v>45017</v>
      </c>
      <c r="B1141">
        <v>2023</v>
      </c>
      <c r="C1141">
        <v>4</v>
      </c>
      <c r="D1141" s="1" t="s">
        <v>123</v>
      </c>
      <c r="E1141">
        <v>5.91</v>
      </c>
      <c r="F1141">
        <v>7.29</v>
      </c>
      <c r="G1141">
        <v>81.099999999999994</v>
      </c>
    </row>
    <row r="1142" spans="1:7" x14ac:dyDescent="0.25">
      <c r="A1142" s="2">
        <v>45047</v>
      </c>
      <c r="B1142">
        <v>2023</v>
      </c>
      <c r="C1142">
        <v>5</v>
      </c>
      <c r="D1142" s="1" t="s">
        <v>123</v>
      </c>
      <c r="E1142">
        <v>6.08</v>
      </c>
      <c r="F1142">
        <v>7.34</v>
      </c>
      <c r="G1142">
        <v>82.8</v>
      </c>
    </row>
    <row r="1143" spans="1:7" x14ac:dyDescent="0.25">
      <c r="A1143" s="2">
        <v>45078</v>
      </c>
      <c r="B1143">
        <v>2023</v>
      </c>
      <c r="C1143">
        <v>6</v>
      </c>
      <c r="D1143" s="1" t="s">
        <v>123</v>
      </c>
      <c r="E1143">
        <v>7.01</v>
      </c>
      <c r="F1143">
        <v>8.33</v>
      </c>
      <c r="G1143">
        <v>84.2</v>
      </c>
    </row>
    <row r="1144" spans="1:7" x14ac:dyDescent="0.25">
      <c r="A1144" s="2">
        <v>45108</v>
      </c>
      <c r="B1144">
        <v>2023</v>
      </c>
      <c r="C1144">
        <v>7</v>
      </c>
      <c r="D1144" s="1" t="s">
        <v>123</v>
      </c>
      <c r="E1144">
        <v>7.14</v>
      </c>
      <c r="F1144">
        <v>8.91</v>
      </c>
      <c r="G1144">
        <v>80.2</v>
      </c>
    </row>
    <row r="1145" spans="1:7" x14ac:dyDescent="0.25">
      <c r="A1145" s="2">
        <v>45139</v>
      </c>
      <c r="B1145">
        <v>2023</v>
      </c>
      <c r="C1145">
        <v>8</v>
      </c>
      <c r="D1145" s="1" t="s">
        <v>123</v>
      </c>
      <c r="E1145">
        <v>7.68</v>
      </c>
      <c r="F1145">
        <v>9.3800000000000008</v>
      </c>
      <c r="G1145">
        <v>81.900000000000006</v>
      </c>
    </row>
    <row r="1146" spans="1:7" x14ac:dyDescent="0.25">
      <c r="A1146" s="2">
        <v>45170</v>
      </c>
      <c r="B1146">
        <v>2023</v>
      </c>
      <c r="C1146">
        <v>9</v>
      </c>
      <c r="D1146" s="1" t="s">
        <v>123</v>
      </c>
      <c r="E1146">
        <v>7.12</v>
      </c>
      <c r="F1146">
        <v>8.6</v>
      </c>
      <c r="G1146">
        <v>82.8</v>
      </c>
    </row>
    <row r="1147" spans="1:7" x14ac:dyDescent="0.25">
      <c r="A1147" s="2">
        <v>45200</v>
      </c>
      <c r="B1147">
        <v>2023</v>
      </c>
      <c r="C1147">
        <v>10</v>
      </c>
      <c r="D1147" s="1" t="s">
        <v>123</v>
      </c>
      <c r="E1147">
        <v>6.86</v>
      </c>
      <c r="F1147">
        <v>8.57</v>
      </c>
      <c r="G1147">
        <v>80.099999999999994</v>
      </c>
    </row>
    <row r="1148" spans="1:7" x14ac:dyDescent="0.25">
      <c r="A1148" s="2">
        <v>45231</v>
      </c>
      <c r="B1148">
        <v>2023</v>
      </c>
      <c r="C1148">
        <v>11</v>
      </c>
      <c r="D1148" s="1" t="s">
        <v>123</v>
      </c>
      <c r="E1148">
        <v>7.12</v>
      </c>
      <c r="F1148">
        <v>8.31</v>
      </c>
      <c r="G1148">
        <v>85.6</v>
      </c>
    </row>
    <row r="1149" spans="1:7" x14ac:dyDescent="0.25">
      <c r="A1149" s="2">
        <v>45261</v>
      </c>
      <c r="B1149">
        <v>2023</v>
      </c>
      <c r="C1149">
        <v>12</v>
      </c>
      <c r="D1149" s="1" t="s">
        <v>123</v>
      </c>
      <c r="E1149">
        <v>6.17</v>
      </c>
      <c r="F1149">
        <v>7.58</v>
      </c>
      <c r="G1149">
        <v>81.3</v>
      </c>
    </row>
    <row r="1150" spans="1:7" x14ac:dyDescent="0.25">
      <c r="A1150" s="2">
        <v>45292</v>
      </c>
      <c r="B1150">
        <v>2024</v>
      </c>
      <c r="C1150">
        <v>1</v>
      </c>
      <c r="D1150" s="1" t="s">
        <v>123</v>
      </c>
      <c r="E1150">
        <v>6.1</v>
      </c>
      <c r="F1150">
        <v>7.13</v>
      </c>
      <c r="G1150">
        <v>85.6</v>
      </c>
    </row>
    <row r="1151" spans="1:7" x14ac:dyDescent="0.25">
      <c r="A1151" s="2">
        <v>45323</v>
      </c>
      <c r="B1151">
        <v>2024</v>
      </c>
      <c r="C1151">
        <v>2</v>
      </c>
      <c r="D1151" s="1" t="s">
        <v>123</v>
      </c>
      <c r="E1151">
        <v>5.9</v>
      </c>
      <c r="F1151">
        <v>7.28</v>
      </c>
      <c r="G1151">
        <v>81</v>
      </c>
    </row>
    <row r="1152" spans="1:7" x14ac:dyDescent="0.25">
      <c r="A1152" s="2">
        <v>45352</v>
      </c>
      <c r="B1152">
        <v>2024</v>
      </c>
      <c r="C1152">
        <v>3</v>
      </c>
      <c r="D1152" s="1" t="s">
        <v>123</v>
      </c>
      <c r="E1152">
        <v>6.46</v>
      </c>
      <c r="F1152">
        <v>7.95</v>
      </c>
      <c r="G1152">
        <v>81.3</v>
      </c>
    </row>
    <row r="1153" spans="1:7" x14ac:dyDescent="0.25">
      <c r="A1153" s="2">
        <v>45383</v>
      </c>
      <c r="B1153">
        <v>2024</v>
      </c>
      <c r="C1153">
        <v>4</v>
      </c>
      <c r="D1153" s="1" t="s">
        <v>123</v>
      </c>
      <c r="E1153">
        <v>6.73</v>
      </c>
      <c r="F1153">
        <v>8.52</v>
      </c>
      <c r="G1153">
        <v>79</v>
      </c>
    </row>
    <row r="1154" spans="1:7" x14ac:dyDescent="0.25">
      <c r="A1154" s="2">
        <v>45413</v>
      </c>
      <c r="B1154">
        <v>2024</v>
      </c>
      <c r="C1154">
        <v>5</v>
      </c>
      <c r="D1154" s="1" t="s">
        <v>123</v>
      </c>
      <c r="E1154">
        <v>7.13</v>
      </c>
      <c r="F1154">
        <v>9.06</v>
      </c>
      <c r="G1154">
        <v>78.7</v>
      </c>
    </row>
    <row r="1155" spans="1:7" x14ac:dyDescent="0.25">
      <c r="A1155" s="2">
        <v>45444</v>
      </c>
      <c r="B1155">
        <v>2024</v>
      </c>
      <c r="C1155">
        <v>6</v>
      </c>
      <c r="D1155" s="1" t="s">
        <v>123</v>
      </c>
      <c r="E1155">
        <v>7.51</v>
      </c>
      <c r="F1155">
        <v>8.9700000000000006</v>
      </c>
      <c r="G1155">
        <v>83.7</v>
      </c>
    </row>
    <row r="1156" spans="1:7" x14ac:dyDescent="0.25">
      <c r="A1156" s="2">
        <v>45474</v>
      </c>
      <c r="B1156">
        <v>2024</v>
      </c>
      <c r="C1156">
        <v>7</v>
      </c>
      <c r="D1156" s="1" t="s">
        <v>123</v>
      </c>
      <c r="E1156">
        <v>8.18</v>
      </c>
      <c r="F1156">
        <v>10.050000000000001</v>
      </c>
      <c r="G1156">
        <v>81.400000000000006</v>
      </c>
    </row>
    <row r="1157" spans="1:7" x14ac:dyDescent="0.25">
      <c r="A1157" s="2">
        <v>45505</v>
      </c>
      <c r="B1157">
        <v>2024</v>
      </c>
      <c r="C1157">
        <v>8</v>
      </c>
      <c r="D1157" s="1" t="s">
        <v>123</v>
      </c>
      <c r="E1157">
        <v>8.1999999999999993</v>
      </c>
      <c r="F1157">
        <v>10.050000000000001</v>
      </c>
      <c r="G1157">
        <v>81.599999999999994</v>
      </c>
    </row>
    <row r="1158" spans="1:7" x14ac:dyDescent="0.25">
      <c r="A1158" s="2">
        <v>45536</v>
      </c>
      <c r="B1158">
        <v>2024</v>
      </c>
      <c r="C1158">
        <v>9</v>
      </c>
      <c r="D1158" s="1" t="s">
        <v>123</v>
      </c>
      <c r="E1158">
        <v>8.36</v>
      </c>
      <c r="F1158">
        <v>9.9600000000000009</v>
      </c>
      <c r="G1158">
        <v>84</v>
      </c>
    </row>
    <row r="1159" spans="1:7" x14ac:dyDescent="0.25">
      <c r="A1159" s="2">
        <v>45566</v>
      </c>
      <c r="B1159">
        <v>2024</v>
      </c>
      <c r="C1159">
        <v>10</v>
      </c>
      <c r="D1159" s="1" t="s">
        <v>123</v>
      </c>
      <c r="E1159">
        <v>7.33</v>
      </c>
      <c r="F1159">
        <v>9.1199999999999992</v>
      </c>
      <c r="G1159">
        <v>80.3</v>
      </c>
    </row>
    <row r="1160" spans="1:7" x14ac:dyDescent="0.25">
      <c r="A1160" s="2">
        <v>45597</v>
      </c>
      <c r="B1160">
        <v>2024</v>
      </c>
      <c r="C1160">
        <v>11</v>
      </c>
      <c r="D1160" s="1" t="s">
        <v>123</v>
      </c>
      <c r="E1160">
        <v>7.45</v>
      </c>
      <c r="F1160">
        <v>9.11</v>
      </c>
      <c r="G1160">
        <v>81.8</v>
      </c>
    </row>
    <row r="1161" spans="1:7" x14ac:dyDescent="0.25">
      <c r="A1161" s="2">
        <v>45627</v>
      </c>
      <c r="B1161">
        <v>2024</v>
      </c>
      <c r="C1161">
        <v>12</v>
      </c>
      <c r="D1161" s="1" t="s">
        <v>123</v>
      </c>
      <c r="E1161">
        <v>6.98</v>
      </c>
      <c r="F1161">
        <v>8.4600000000000009</v>
      </c>
      <c r="G1161">
        <v>82.5</v>
      </c>
    </row>
    <row r="1162" spans="1:7" x14ac:dyDescent="0.25">
      <c r="A1162" s="2">
        <v>45658</v>
      </c>
      <c r="B1162">
        <v>2025</v>
      </c>
      <c r="C1162">
        <v>1</v>
      </c>
      <c r="D1162" s="1" t="s">
        <v>123</v>
      </c>
      <c r="E1162">
        <v>6.47</v>
      </c>
      <c r="F1162">
        <v>7.99</v>
      </c>
      <c r="G1162">
        <v>80.900000000000006</v>
      </c>
    </row>
    <row r="1163" spans="1:7" x14ac:dyDescent="0.25">
      <c r="A1163" s="2">
        <v>45689</v>
      </c>
      <c r="B1163">
        <v>2025</v>
      </c>
      <c r="C1163">
        <v>2</v>
      </c>
      <c r="D1163" s="1" t="s">
        <v>123</v>
      </c>
      <c r="E1163">
        <v>6.36</v>
      </c>
      <c r="F1163">
        <v>7.55</v>
      </c>
      <c r="G1163">
        <v>84.3</v>
      </c>
    </row>
    <row r="1164" spans="1:7" x14ac:dyDescent="0.25">
      <c r="A1164" s="2">
        <v>45717</v>
      </c>
      <c r="B1164">
        <v>2025</v>
      </c>
      <c r="C1164">
        <v>3</v>
      </c>
      <c r="D1164" s="1" t="s">
        <v>123</v>
      </c>
      <c r="E1164">
        <v>6.45</v>
      </c>
      <c r="F1164">
        <v>7.88</v>
      </c>
      <c r="G1164">
        <v>81.900000000000006</v>
      </c>
    </row>
    <row r="1165" spans="1:7" x14ac:dyDescent="0.25">
      <c r="A1165" s="2">
        <v>45748</v>
      </c>
      <c r="B1165">
        <v>2025</v>
      </c>
      <c r="C1165">
        <v>4</v>
      </c>
      <c r="D1165" s="1" t="s">
        <v>123</v>
      </c>
      <c r="E1165">
        <v>7.09</v>
      </c>
      <c r="F1165">
        <v>8.33</v>
      </c>
      <c r="G1165">
        <v>85.1</v>
      </c>
    </row>
    <row r="1166" spans="1:7" x14ac:dyDescent="0.25">
      <c r="A1166" s="2">
        <v>45778</v>
      </c>
      <c r="B1166">
        <v>2025</v>
      </c>
      <c r="C1166">
        <v>5</v>
      </c>
      <c r="D1166" s="1" t="s">
        <v>123</v>
      </c>
      <c r="E1166">
        <v>7.6</v>
      </c>
      <c r="F1166">
        <v>9.0500000000000007</v>
      </c>
      <c r="G1166">
        <v>83.9</v>
      </c>
    </row>
    <row r="1167" spans="1:7" x14ac:dyDescent="0.25">
      <c r="A1167" s="2">
        <v>45809</v>
      </c>
      <c r="B1167">
        <v>2025</v>
      </c>
      <c r="C1167">
        <v>6</v>
      </c>
      <c r="D1167" s="1" t="s">
        <v>123</v>
      </c>
      <c r="E1167">
        <v>8.6</v>
      </c>
      <c r="F1167">
        <v>10.5</v>
      </c>
      <c r="G1167">
        <v>81.900000000000006</v>
      </c>
    </row>
    <row r="1168" spans="1:7" x14ac:dyDescent="0.25">
      <c r="A1168" s="2">
        <v>45839</v>
      </c>
      <c r="B1168">
        <v>2025</v>
      </c>
      <c r="C1168">
        <v>7</v>
      </c>
      <c r="D1168" s="1" t="s">
        <v>123</v>
      </c>
      <c r="E1168">
        <v>8.6999999999999993</v>
      </c>
      <c r="F1168">
        <v>10.7</v>
      </c>
      <c r="G1168">
        <v>81.3</v>
      </c>
    </row>
    <row r="1169" spans="1:7" x14ac:dyDescent="0.25">
      <c r="A1169" s="2">
        <v>45870</v>
      </c>
      <c r="B1169">
        <v>2025</v>
      </c>
      <c r="C1169">
        <v>8</v>
      </c>
      <c r="D1169" s="1" t="s">
        <v>123</v>
      </c>
      <c r="E1169">
        <v>8.89</v>
      </c>
      <c r="F1169">
        <v>10.62</v>
      </c>
      <c r="G1169">
        <v>83.7</v>
      </c>
    </row>
    <row r="1170" spans="1:7" x14ac:dyDescent="0.25">
      <c r="A1170" s="2">
        <v>45901</v>
      </c>
      <c r="B1170">
        <v>2025</v>
      </c>
      <c r="C1170">
        <v>9</v>
      </c>
      <c r="D1170" s="1" t="s">
        <v>123</v>
      </c>
      <c r="E1170">
        <v>8.91</v>
      </c>
      <c r="F1170">
        <v>10.81</v>
      </c>
      <c r="G1170">
        <v>82.5</v>
      </c>
    </row>
    <row r="1171" spans="1:7" x14ac:dyDescent="0.25">
      <c r="A1171" s="2">
        <v>45931</v>
      </c>
      <c r="B1171">
        <v>2025</v>
      </c>
      <c r="C1171">
        <v>10</v>
      </c>
      <c r="D1171" s="1" t="s">
        <v>123</v>
      </c>
      <c r="E1171">
        <v>8.18</v>
      </c>
      <c r="F1171">
        <v>10.220000000000001</v>
      </c>
      <c r="G1171">
        <v>80.099999999999994</v>
      </c>
    </row>
    <row r="1172" spans="1:7" x14ac:dyDescent="0.25">
      <c r="A1172" s="2">
        <v>45962</v>
      </c>
      <c r="B1172">
        <v>2025</v>
      </c>
      <c r="C1172">
        <v>11</v>
      </c>
      <c r="D1172" s="1" t="s">
        <v>123</v>
      </c>
      <c r="E1172">
        <v>8.44</v>
      </c>
      <c r="F1172">
        <v>10.34</v>
      </c>
      <c r="G1172">
        <v>81.599999999999994</v>
      </c>
    </row>
    <row r="1173" spans="1:7" x14ac:dyDescent="0.25">
      <c r="A1173" s="2">
        <v>45992</v>
      </c>
      <c r="B1173">
        <v>2025</v>
      </c>
      <c r="C1173">
        <v>12</v>
      </c>
      <c r="D1173" s="1" t="s">
        <v>123</v>
      </c>
      <c r="E1173">
        <v>7.19</v>
      </c>
      <c r="F1173">
        <v>8.48</v>
      </c>
      <c r="G1173">
        <v>84.9</v>
      </c>
    </row>
    <row r="1174" spans="1:7" x14ac:dyDescent="0.25">
      <c r="A1174" s="2">
        <v>46023</v>
      </c>
      <c r="B1174">
        <v>2026</v>
      </c>
      <c r="C1174">
        <v>1</v>
      </c>
      <c r="D1174" s="1" t="s">
        <v>123</v>
      </c>
      <c r="E1174">
        <v>7.02</v>
      </c>
      <c r="F1174">
        <v>8.44</v>
      </c>
      <c r="G1174">
        <v>83.2</v>
      </c>
    </row>
    <row r="1175" spans="1:7" x14ac:dyDescent="0.25">
      <c r="A1175" s="2">
        <v>46054</v>
      </c>
      <c r="B1175">
        <v>2026</v>
      </c>
      <c r="C1175">
        <v>2</v>
      </c>
      <c r="D1175" s="1" t="s">
        <v>123</v>
      </c>
      <c r="E1175">
        <v>6.77</v>
      </c>
      <c r="F1175">
        <v>8.32</v>
      </c>
      <c r="G1175">
        <v>81.400000000000006</v>
      </c>
    </row>
    <row r="1176" spans="1:7" x14ac:dyDescent="0.25">
      <c r="A1176" s="2">
        <v>46082</v>
      </c>
      <c r="B1176">
        <v>2026</v>
      </c>
      <c r="C1176">
        <v>3</v>
      </c>
      <c r="D1176" s="1" t="s">
        <v>123</v>
      </c>
      <c r="E1176">
        <v>6.93</v>
      </c>
      <c r="F1176">
        <v>8.74</v>
      </c>
      <c r="G1176">
        <v>79.2</v>
      </c>
    </row>
    <row r="1177" spans="1:7" x14ac:dyDescent="0.25">
      <c r="A1177" s="2">
        <v>46113</v>
      </c>
      <c r="B1177">
        <v>2026</v>
      </c>
      <c r="C1177">
        <v>4</v>
      </c>
      <c r="D1177" s="1" t="s">
        <v>123</v>
      </c>
      <c r="E1177">
        <v>7.38</v>
      </c>
      <c r="F1177">
        <v>8.94</v>
      </c>
      <c r="G1177">
        <v>82.6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BCD50-C7D0-496B-9846-0354A899847A}">
  <sheetPr>
    <tabColor theme="9" tint="-0.249977111117893"/>
  </sheetPr>
  <dimension ref="A1:K401"/>
  <sheetViews>
    <sheetView topLeftCell="A2" workbookViewId="0">
      <selection sqref="A1:K401"/>
    </sheetView>
  </sheetViews>
  <sheetFormatPr defaultRowHeight="15" x14ac:dyDescent="0.25"/>
  <cols>
    <col min="1" max="1" width="7.140625" bestFit="1" customWidth="1"/>
    <col min="2" max="2" width="24" bestFit="1" customWidth="1"/>
    <col min="3" max="3" width="12.5703125" bestFit="1" customWidth="1"/>
    <col min="4" max="4" width="17.85546875" bestFit="1" customWidth="1"/>
    <col min="5" max="5" width="14.5703125" bestFit="1" customWidth="1"/>
    <col min="6" max="6" width="13.85546875" bestFit="1" customWidth="1"/>
    <col min="7" max="7" width="31.28515625" bestFit="1" customWidth="1"/>
    <col min="8" max="8" width="23.28515625" bestFit="1" customWidth="1"/>
    <col min="9" max="9" width="14.85546875" bestFit="1" customWidth="1"/>
    <col min="10" max="10" width="23.7109375" bestFit="1" customWidth="1"/>
    <col min="11" max="11" width="24.7109375" bestFit="1" customWidth="1"/>
  </cols>
  <sheetData>
    <row r="1" spans="1:11" x14ac:dyDescent="0.25">
      <c r="A1" t="s">
        <v>0</v>
      </c>
      <c r="B1" t="s">
        <v>124</v>
      </c>
      <c r="C1" t="s">
        <v>125</v>
      </c>
      <c r="D1" t="s">
        <v>126</v>
      </c>
      <c r="E1" t="s">
        <v>127</v>
      </c>
      <c r="F1" t="s">
        <v>4</v>
      </c>
      <c r="G1" t="s">
        <v>128</v>
      </c>
      <c r="H1" t="s">
        <v>129</v>
      </c>
      <c r="I1" t="s">
        <v>130</v>
      </c>
      <c r="J1" t="s">
        <v>131</v>
      </c>
      <c r="K1" t="s">
        <v>132</v>
      </c>
    </row>
    <row r="2" spans="1:11" x14ac:dyDescent="0.25">
      <c r="A2">
        <v>2015</v>
      </c>
      <c r="B2" s="1" t="s">
        <v>133</v>
      </c>
      <c r="C2" s="1" t="s">
        <v>134</v>
      </c>
      <c r="D2" s="1" t="s">
        <v>135</v>
      </c>
      <c r="E2">
        <v>451</v>
      </c>
      <c r="F2" s="1" t="s">
        <v>53</v>
      </c>
      <c r="G2" s="1" t="s">
        <v>136</v>
      </c>
      <c r="H2">
        <v>6.37</v>
      </c>
      <c r="I2">
        <v>50</v>
      </c>
      <c r="J2">
        <v>19</v>
      </c>
      <c r="K2">
        <v>320.5</v>
      </c>
    </row>
    <row r="3" spans="1:11" x14ac:dyDescent="0.25">
      <c r="A3">
        <v>2018</v>
      </c>
      <c r="B3" s="1" t="s">
        <v>133</v>
      </c>
      <c r="C3" s="1" t="s">
        <v>134</v>
      </c>
      <c r="D3" s="1" t="s">
        <v>135</v>
      </c>
      <c r="E3">
        <v>451</v>
      </c>
      <c r="F3" s="1" t="s">
        <v>53</v>
      </c>
      <c r="G3" s="1" t="s">
        <v>136</v>
      </c>
      <c r="H3">
        <v>7.92</v>
      </c>
      <c r="I3">
        <v>68</v>
      </c>
      <c r="J3">
        <v>22</v>
      </c>
      <c r="K3">
        <v>539.4</v>
      </c>
    </row>
    <row r="4" spans="1:11" x14ac:dyDescent="0.25">
      <c r="A4">
        <v>2019</v>
      </c>
      <c r="B4" s="1" t="s">
        <v>133</v>
      </c>
      <c r="C4" s="1" t="s">
        <v>134</v>
      </c>
      <c r="D4" s="1" t="s">
        <v>135</v>
      </c>
      <c r="E4">
        <v>451</v>
      </c>
      <c r="F4" s="1" t="s">
        <v>53</v>
      </c>
      <c r="G4" s="1" t="s">
        <v>136</v>
      </c>
      <c r="H4">
        <v>7.65</v>
      </c>
      <c r="I4">
        <v>65</v>
      </c>
      <c r="J4">
        <v>21</v>
      </c>
      <c r="K4">
        <v>498</v>
      </c>
    </row>
    <row r="5" spans="1:11" x14ac:dyDescent="0.25">
      <c r="A5">
        <v>2020</v>
      </c>
      <c r="B5" s="1" t="s">
        <v>133</v>
      </c>
      <c r="C5" s="1" t="s">
        <v>134</v>
      </c>
      <c r="D5" s="1" t="s">
        <v>135</v>
      </c>
      <c r="E5">
        <v>451</v>
      </c>
      <c r="F5" s="1" t="s">
        <v>53</v>
      </c>
      <c r="G5" s="1" t="s">
        <v>136</v>
      </c>
      <c r="H5">
        <v>2.21</v>
      </c>
      <c r="I5">
        <v>21</v>
      </c>
      <c r="J5">
        <v>4</v>
      </c>
      <c r="K5">
        <v>45.4</v>
      </c>
    </row>
    <row r="6" spans="1:11" x14ac:dyDescent="0.25">
      <c r="A6">
        <v>2021</v>
      </c>
      <c r="B6" s="1" t="s">
        <v>133</v>
      </c>
      <c r="C6" s="1" t="s">
        <v>134</v>
      </c>
      <c r="D6" s="1" t="s">
        <v>135</v>
      </c>
      <c r="E6">
        <v>451</v>
      </c>
      <c r="F6" s="1" t="s">
        <v>53</v>
      </c>
      <c r="G6" s="1" t="s">
        <v>136</v>
      </c>
      <c r="H6">
        <v>3.57</v>
      </c>
      <c r="I6">
        <v>34</v>
      </c>
      <c r="J6">
        <v>10</v>
      </c>
      <c r="K6">
        <v>121.5</v>
      </c>
    </row>
    <row r="7" spans="1:11" x14ac:dyDescent="0.25">
      <c r="A7">
        <v>2022</v>
      </c>
      <c r="B7" s="1" t="s">
        <v>133</v>
      </c>
      <c r="C7" s="1" t="s">
        <v>134</v>
      </c>
      <c r="D7" s="1" t="s">
        <v>135</v>
      </c>
      <c r="E7">
        <v>451</v>
      </c>
      <c r="F7" s="1" t="s">
        <v>53</v>
      </c>
      <c r="G7" s="1" t="s">
        <v>136</v>
      </c>
      <c r="H7">
        <v>5.69</v>
      </c>
      <c r="I7">
        <v>47</v>
      </c>
      <c r="J7">
        <v>17</v>
      </c>
      <c r="K7">
        <v>270.2</v>
      </c>
    </row>
    <row r="8" spans="1:11" x14ac:dyDescent="0.25">
      <c r="A8">
        <v>2023</v>
      </c>
      <c r="B8" s="1" t="s">
        <v>133</v>
      </c>
      <c r="C8" s="1" t="s">
        <v>134</v>
      </c>
      <c r="D8" s="1" t="s">
        <v>135</v>
      </c>
      <c r="E8">
        <v>451</v>
      </c>
      <c r="F8" s="1" t="s">
        <v>53</v>
      </c>
      <c r="G8" s="1" t="s">
        <v>136</v>
      </c>
      <c r="H8">
        <v>6.77</v>
      </c>
      <c r="I8">
        <v>71</v>
      </c>
      <c r="J8">
        <v>18</v>
      </c>
      <c r="K8">
        <v>483.1</v>
      </c>
    </row>
    <row r="9" spans="1:11" x14ac:dyDescent="0.25">
      <c r="A9">
        <v>2024</v>
      </c>
      <c r="B9" s="1" t="s">
        <v>133</v>
      </c>
      <c r="C9" s="1" t="s">
        <v>134</v>
      </c>
      <c r="D9" s="1" t="s">
        <v>135</v>
      </c>
      <c r="E9">
        <v>451</v>
      </c>
      <c r="F9" s="1" t="s">
        <v>53</v>
      </c>
      <c r="G9" s="1" t="s">
        <v>136</v>
      </c>
      <c r="H9">
        <v>7.51</v>
      </c>
      <c r="I9">
        <v>73</v>
      </c>
      <c r="J9">
        <v>24</v>
      </c>
      <c r="K9">
        <v>550.29999999999995</v>
      </c>
    </row>
    <row r="10" spans="1:11" x14ac:dyDescent="0.25">
      <c r="A10">
        <v>2025</v>
      </c>
      <c r="B10" s="1" t="s">
        <v>133</v>
      </c>
      <c r="C10" s="1" t="s">
        <v>134</v>
      </c>
      <c r="D10" s="1" t="s">
        <v>135</v>
      </c>
      <c r="E10">
        <v>451</v>
      </c>
      <c r="F10" s="1" t="s">
        <v>53</v>
      </c>
      <c r="G10" s="1" t="s">
        <v>136</v>
      </c>
      <c r="H10">
        <v>8.33</v>
      </c>
      <c r="I10">
        <v>77</v>
      </c>
      <c r="J10">
        <v>24</v>
      </c>
      <c r="K10">
        <v>644.5</v>
      </c>
    </row>
    <row r="11" spans="1:11" x14ac:dyDescent="0.25">
      <c r="A11">
        <v>2026</v>
      </c>
      <c r="B11" s="1" t="s">
        <v>133</v>
      </c>
      <c r="C11" s="1" t="s">
        <v>134</v>
      </c>
      <c r="D11" s="1" t="s">
        <v>135</v>
      </c>
      <c r="E11">
        <v>451</v>
      </c>
      <c r="F11" s="1" t="s">
        <v>53</v>
      </c>
      <c r="G11" s="1" t="s">
        <v>136</v>
      </c>
      <c r="H11">
        <v>8.0299999999999994</v>
      </c>
      <c r="I11">
        <v>74</v>
      </c>
      <c r="J11">
        <v>22</v>
      </c>
      <c r="K11">
        <v>594.5</v>
      </c>
    </row>
    <row r="12" spans="1:11" x14ac:dyDescent="0.25">
      <c r="A12">
        <v>2015</v>
      </c>
      <c r="B12" s="1" t="s">
        <v>137</v>
      </c>
      <c r="C12" s="1" t="s">
        <v>138</v>
      </c>
      <c r="D12" s="1" t="s">
        <v>139</v>
      </c>
      <c r="E12">
        <v>821</v>
      </c>
      <c r="F12" s="1" t="s">
        <v>53</v>
      </c>
      <c r="G12" s="1" t="s">
        <v>140</v>
      </c>
      <c r="H12">
        <v>3.29</v>
      </c>
      <c r="I12">
        <v>66</v>
      </c>
      <c r="J12">
        <v>10</v>
      </c>
      <c r="K12">
        <v>216.8</v>
      </c>
    </row>
    <row r="13" spans="1:11" x14ac:dyDescent="0.25">
      <c r="A13">
        <v>2018</v>
      </c>
      <c r="B13" s="1" t="s">
        <v>137</v>
      </c>
      <c r="C13" s="1" t="s">
        <v>138</v>
      </c>
      <c r="D13" s="1" t="s">
        <v>139</v>
      </c>
      <c r="E13">
        <v>821</v>
      </c>
      <c r="F13" s="1" t="s">
        <v>53</v>
      </c>
      <c r="G13" s="1" t="s">
        <v>140</v>
      </c>
      <c r="H13">
        <v>3.44</v>
      </c>
      <c r="I13">
        <v>80</v>
      </c>
      <c r="J13">
        <v>9</v>
      </c>
      <c r="K13">
        <v>275.5</v>
      </c>
    </row>
    <row r="14" spans="1:11" x14ac:dyDescent="0.25">
      <c r="A14">
        <v>2019</v>
      </c>
      <c r="B14" s="1" t="s">
        <v>137</v>
      </c>
      <c r="C14" s="1" t="s">
        <v>138</v>
      </c>
      <c r="D14" s="1" t="s">
        <v>139</v>
      </c>
      <c r="E14">
        <v>821</v>
      </c>
      <c r="F14" s="1" t="s">
        <v>53</v>
      </c>
      <c r="G14" s="1" t="s">
        <v>140</v>
      </c>
      <c r="H14">
        <v>4.03</v>
      </c>
      <c r="I14">
        <v>84</v>
      </c>
      <c r="J14">
        <v>13</v>
      </c>
      <c r="K14">
        <v>340.7</v>
      </c>
    </row>
    <row r="15" spans="1:11" x14ac:dyDescent="0.25">
      <c r="A15">
        <v>2020</v>
      </c>
      <c r="B15" s="1" t="s">
        <v>137</v>
      </c>
      <c r="C15" s="1" t="s">
        <v>138</v>
      </c>
      <c r="D15" s="1" t="s">
        <v>139</v>
      </c>
      <c r="E15">
        <v>821</v>
      </c>
      <c r="F15" s="1" t="s">
        <v>53</v>
      </c>
      <c r="G15" s="1" t="s">
        <v>140</v>
      </c>
      <c r="H15">
        <v>1.1100000000000001</v>
      </c>
      <c r="I15">
        <v>25</v>
      </c>
      <c r="J15">
        <v>2</v>
      </c>
      <c r="K15">
        <v>27.7</v>
      </c>
    </row>
    <row r="16" spans="1:11" x14ac:dyDescent="0.25">
      <c r="A16">
        <v>2021</v>
      </c>
      <c r="B16" s="1" t="s">
        <v>137</v>
      </c>
      <c r="C16" s="1" t="s">
        <v>138</v>
      </c>
      <c r="D16" s="1" t="s">
        <v>139</v>
      </c>
      <c r="E16">
        <v>821</v>
      </c>
      <c r="F16" s="1" t="s">
        <v>53</v>
      </c>
      <c r="G16" s="1" t="s">
        <v>140</v>
      </c>
      <c r="H16">
        <v>1.88</v>
      </c>
      <c r="I16">
        <v>41</v>
      </c>
      <c r="J16">
        <v>4</v>
      </c>
      <c r="K16">
        <v>76.5</v>
      </c>
    </row>
    <row r="17" spans="1:11" x14ac:dyDescent="0.25">
      <c r="A17">
        <v>2022</v>
      </c>
      <c r="B17" s="1" t="s">
        <v>137</v>
      </c>
      <c r="C17" s="1" t="s">
        <v>138</v>
      </c>
      <c r="D17" s="1" t="s">
        <v>139</v>
      </c>
      <c r="E17">
        <v>821</v>
      </c>
      <c r="F17" s="1" t="s">
        <v>53</v>
      </c>
      <c r="G17" s="1" t="s">
        <v>140</v>
      </c>
      <c r="H17">
        <v>2.72</v>
      </c>
      <c r="I17">
        <v>57</v>
      </c>
      <c r="J17">
        <v>5</v>
      </c>
      <c r="K17">
        <v>155.5</v>
      </c>
    </row>
    <row r="18" spans="1:11" x14ac:dyDescent="0.25">
      <c r="A18">
        <v>2023</v>
      </c>
      <c r="B18" s="1" t="s">
        <v>137</v>
      </c>
      <c r="C18" s="1" t="s">
        <v>138</v>
      </c>
      <c r="D18" s="1" t="s">
        <v>139</v>
      </c>
      <c r="E18">
        <v>821</v>
      </c>
      <c r="F18" s="1" t="s">
        <v>53</v>
      </c>
      <c r="G18" s="1" t="s">
        <v>140</v>
      </c>
      <c r="H18">
        <v>3.47</v>
      </c>
      <c r="I18">
        <v>82</v>
      </c>
      <c r="J18">
        <v>8</v>
      </c>
      <c r="K18">
        <v>283.8</v>
      </c>
    </row>
    <row r="19" spans="1:11" x14ac:dyDescent="0.25">
      <c r="A19">
        <v>2024</v>
      </c>
      <c r="B19" s="1" t="s">
        <v>137</v>
      </c>
      <c r="C19" s="1" t="s">
        <v>138</v>
      </c>
      <c r="D19" s="1" t="s">
        <v>139</v>
      </c>
      <c r="E19">
        <v>821</v>
      </c>
      <c r="F19" s="1" t="s">
        <v>53</v>
      </c>
      <c r="G19" s="1" t="s">
        <v>140</v>
      </c>
      <c r="H19">
        <v>3.79</v>
      </c>
      <c r="I19">
        <v>97</v>
      </c>
      <c r="J19">
        <v>10</v>
      </c>
      <c r="K19">
        <v>367.1</v>
      </c>
    </row>
    <row r="20" spans="1:11" x14ac:dyDescent="0.25">
      <c r="A20">
        <v>2025</v>
      </c>
      <c r="B20" s="1" t="s">
        <v>137</v>
      </c>
      <c r="C20" s="1" t="s">
        <v>138</v>
      </c>
      <c r="D20" s="1" t="s">
        <v>139</v>
      </c>
      <c r="E20">
        <v>821</v>
      </c>
      <c r="F20" s="1" t="s">
        <v>53</v>
      </c>
      <c r="G20" s="1" t="s">
        <v>140</v>
      </c>
      <c r="H20">
        <v>4.25</v>
      </c>
      <c r="I20">
        <v>95</v>
      </c>
      <c r="J20">
        <v>13</v>
      </c>
      <c r="K20">
        <v>402.4</v>
      </c>
    </row>
    <row r="21" spans="1:11" x14ac:dyDescent="0.25">
      <c r="A21">
        <v>2026</v>
      </c>
      <c r="B21" s="1" t="s">
        <v>137</v>
      </c>
      <c r="C21" s="1" t="s">
        <v>138</v>
      </c>
      <c r="D21" s="1" t="s">
        <v>139</v>
      </c>
      <c r="E21">
        <v>821</v>
      </c>
      <c r="F21" s="1" t="s">
        <v>53</v>
      </c>
      <c r="G21" s="1" t="s">
        <v>140</v>
      </c>
      <c r="H21">
        <v>4.0199999999999996</v>
      </c>
      <c r="I21">
        <v>92</v>
      </c>
      <c r="J21">
        <v>10</v>
      </c>
      <c r="K21">
        <v>367.7</v>
      </c>
    </row>
    <row r="22" spans="1:11" x14ac:dyDescent="0.25">
      <c r="A22">
        <v>2015</v>
      </c>
      <c r="B22" s="1" t="s">
        <v>141</v>
      </c>
      <c r="C22" s="1" t="s">
        <v>142</v>
      </c>
      <c r="D22" s="1" t="s">
        <v>143</v>
      </c>
      <c r="E22">
        <v>705</v>
      </c>
      <c r="F22" s="1" t="s">
        <v>144</v>
      </c>
      <c r="G22" s="1" t="s">
        <v>145</v>
      </c>
      <c r="H22">
        <v>5.65</v>
      </c>
      <c r="I22">
        <v>62</v>
      </c>
      <c r="J22">
        <v>15</v>
      </c>
      <c r="K22">
        <v>352.4</v>
      </c>
    </row>
    <row r="23" spans="1:11" x14ac:dyDescent="0.25">
      <c r="A23">
        <v>2018</v>
      </c>
      <c r="B23" s="1" t="s">
        <v>141</v>
      </c>
      <c r="C23" s="1" t="s">
        <v>142</v>
      </c>
      <c r="D23" s="1" t="s">
        <v>143</v>
      </c>
      <c r="E23">
        <v>705</v>
      </c>
      <c r="F23" s="1" t="s">
        <v>144</v>
      </c>
      <c r="G23" s="1" t="s">
        <v>145</v>
      </c>
      <c r="H23">
        <v>6.33</v>
      </c>
      <c r="I23">
        <v>81</v>
      </c>
      <c r="J23">
        <v>21</v>
      </c>
      <c r="K23">
        <v>510.3</v>
      </c>
    </row>
    <row r="24" spans="1:11" x14ac:dyDescent="0.25">
      <c r="A24">
        <v>2019</v>
      </c>
      <c r="B24" s="1" t="s">
        <v>141</v>
      </c>
      <c r="C24" s="1" t="s">
        <v>142</v>
      </c>
      <c r="D24" s="1" t="s">
        <v>143</v>
      </c>
      <c r="E24">
        <v>705</v>
      </c>
      <c r="F24" s="1" t="s">
        <v>144</v>
      </c>
      <c r="G24" s="1" t="s">
        <v>145</v>
      </c>
      <c r="H24">
        <v>6.95</v>
      </c>
      <c r="I24">
        <v>72</v>
      </c>
      <c r="J24">
        <v>18</v>
      </c>
      <c r="K24">
        <v>501.8</v>
      </c>
    </row>
    <row r="25" spans="1:11" x14ac:dyDescent="0.25">
      <c r="A25">
        <v>2020</v>
      </c>
      <c r="B25" s="1" t="s">
        <v>141</v>
      </c>
      <c r="C25" s="1" t="s">
        <v>142</v>
      </c>
      <c r="D25" s="1" t="s">
        <v>143</v>
      </c>
      <c r="E25">
        <v>705</v>
      </c>
      <c r="F25" s="1" t="s">
        <v>144</v>
      </c>
      <c r="G25" s="1" t="s">
        <v>145</v>
      </c>
      <c r="H25">
        <v>2.1</v>
      </c>
      <c r="I25">
        <v>23</v>
      </c>
      <c r="J25">
        <v>5</v>
      </c>
      <c r="K25">
        <v>48.4</v>
      </c>
    </row>
    <row r="26" spans="1:11" x14ac:dyDescent="0.25">
      <c r="A26">
        <v>2021</v>
      </c>
      <c r="B26" s="1" t="s">
        <v>141</v>
      </c>
      <c r="C26" s="1" t="s">
        <v>142</v>
      </c>
      <c r="D26" s="1" t="s">
        <v>143</v>
      </c>
      <c r="E26">
        <v>705</v>
      </c>
      <c r="F26" s="1" t="s">
        <v>144</v>
      </c>
      <c r="G26" s="1" t="s">
        <v>145</v>
      </c>
      <c r="H26">
        <v>3.57</v>
      </c>
      <c r="I26">
        <v>40</v>
      </c>
      <c r="J26">
        <v>11</v>
      </c>
      <c r="K26">
        <v>143</v>
      </c>
    </row>
    <row r="27" spans="1:11" x14ac:dyDescent="0.25">
      <c r="A27">
        <v>2022</v>
      </c>
      <c r="B27" s="1" t="s">
        <v>141</v>
      </c>
      <c r="C27" s="1" t="s">
        <v>142</v>
      </c>
      <c r="D27" s="1" t="s">
        <v>143</v>
      </c>
      <c r="E27">
        <v>705</v>
      </c>
      <c r="F27" s="1" t="s">
        <v>144</v>
      </c>
      <c r="G27" s="1" t="s">
        <v>145</v>
      </c>
      <c r="H27">
        <v>5.24</v>
      </c>
      <c r="I27">
        <v>55</v>
      </c>
      <c r="J27">
        <v>16</v>
      </c>
      <c r="K27">
        <v>287.8</v>
      </c>
    </row>
    <row r="28" spans="1:11" x14ac:dyDescent="0.25">
      <c r="A28">
        <v>2023</v>
      </c>
      <c r="B28" s="1" t="s">
        <v>141</v>
      </c>
      <c r="C28" s="1" t="s">
        <v>142</v>
      </c>
      <c r="D28" s="1" t="s">
        <v>143</v>
      </c>
      <c r="E28">
        <v>705</v>
      </c>
      <c r="F28" s="1" t="s">
        <v>144</v>
      </c>
      <c r="G28" s="1" t="s">
        <v>145</v>
      </c>
      <c r="H28">
        <v>6.73</v>
      </c>
      <c r="I28">
        <v>78</v>
      </c>
      <c r="J28">
        <v>20</v>
      </c>
      <c r="K28">
        <v>527.20000000000005</v>
      </c>
    </row>
    <row r="29" spans="1:11" x14ac:dyDescent="0.25">
      <c r="A29">
        <v>2024</v>
      </c>
      <c r="B29" s="1" t="s">
        <v>141</v>
      </c>
      <c r="C29" s="1" t="s">
        <v>142</v>
      </c>
      <c r="D29" s="1" t="s">
        <v>143</v>
      </c>
      <c r="E29">
        <v>705</v>
      </c>
      <c r="F29" s="1" t="s">
        <v>144</v>
      </c>
      <c r="G29" s="1" t="s">
        <v>145</v>
      </c>
      <c r="H29">
        <v>7.02</v>
      </c>
      <c r="I29">
        <v>75</v>
      </c>
      <c r="J29">
        <v>20</v>
      </c>
      <c r="K29">
        <v>529</v>
      </c>
    </row>
    <row r="30" spans="1:11" x14ac:dyDescent="0.25">
      <c r="A30">
        <v>2025</v>
      </c>
      <c r="B30" s="1" t="s">
        <v>141</v>
      </c>
      <c r="C30" s="1" t="s">
        <v>142</v>
      </c>
      <c r="D30" s="1" t="s">
        <v>143</v>
      </c>
      <c r="E30">
        <v>705</v>
      </c>
      <c r="F30" s="1" t="s">
        <v>144</v>
      </c>
      <c r="G30" s="1" t="s">
        <v>145</v>
      </c>
      <c r="H30">
        <v>7.46</v>
      </c>
      <c r="I30">
        <v>90</v>
      </c>
      <c r="J30">
        <v>22</v>
      </c>
      <c r="K30">
        <v>671.9</v>
      </c>
    </row>
    <row r="31" spans="1:11" x14ac:dyDescent="0.25">
      <c r="A31">
        <v>2026</v>
      </c>
      <c r="B31" s="1" t="s">
        <v>141</v>
      </c>
      <c r="C31" s="1" t="s">
        <v>142</v>
      </c>
      <c r="D31" s="1" t="s">
        <v>143</v>
      </c>
      <c r="E31">
        <v>705</v>
      </c>
      <c r="F31" s="1" t="s">
        <v>144</v>
      </c>
      <c r="G31" s="1" t="s">
        <v>145</v>
      </c>
      <c r="H31">
        <v>8.2799999999999994</v>
      </c>
      <c r="I31">
        <v>90</v>
      </c>
      <c r="J31">
        <v>25</v>
      </c>
      <c r="K31">
        <v>743.1</v>
      </c>
    </row>
    <row r="32" spans="1:11" x14ac:dyDescent="0.25">
      <c r="A32">
        <v>2015</v>
      </c>
      <c r="B32" s="1" t="s">
        <v>146</v>
      </c>
      <c r="C32" s="1" t="s">
        <v>147</v>
      </c>
      <c r="D32" s="1" t="s">
        <v>148</v>
      </c>
      <c r="E32">
        <v>1148</v>
      </c>
      <c r="F32" s="1" t="s">
        <v>53</v>
      </c>
      <c r="G32" s="1" t="s">
        <v>149</v>
      </c>
      <c r="H32">
        <v>6.34</v>
      </c>
      <c r="I32">
        <v>82</v>
      </c>
      <c r="J32">
        <v>20</v>
      </c>
      <c r="K32">
        <v>519.1</v>
      </c>
    </row>
    <row r="33" spans="1:11" x14ac:dyDescent="0.25">
      <c r="A33">
        <v>2018</v>
      </c>
      <c r="B33" s="1" t="s">
        <v>146</v>
      </c>
      <c r="C33" s="1" t="s">
        <v>147</v>
      </c>
      <c r="D33" s="1" t="s">
        <v>148</v>
      </c>
      <c r="E33">
        <v>1148</v>
      </c>
      <c r="F33" s="1" t="s">
        <v>53</v>
      </c>
      <c r="G33" s="1" t="s">
        <v>149</v>
      </c>
      <c r="H33">
        <v>6.99</v>
      </c>
      <c r="I33">
        <v>89</v>
      </c>
      <c r="J33">
        <v>20</v>
      </c>
      <c r="K33">
        <v>625.1</v>
      </c>
    </row>
    <row r="34" spans="1:11" x14ac:dyDescent="0.25">
      <c r="A34">
        <v>2019</v>
      </c>
      <c r="B34" s="1" t="s">
        <v>146</v>
      </c>
      <c r="C34" s="1" t="s">
        <v>147</v>
      </c>
      <c r="D34" s="1" t="s">
        <v>148</v>
      </c>
      <c r="E34">
        <v>1148</v>
      </c>
      <c r="F34" s="1" t="s">
        <v>53</v>
      </c>
      <c r="G34" s="1" t="s">
        <v>149</v>
      </c>
      <c r="H34">
        <v>7.53</v>
      </c>
      <c r="I34">
        <v>103</v>
      </c>
      <c r="J34">
        <v>22</v>
      </c>
      <c r="K34">
        <v>777.8</v>
      </c>
    </row>
    <row r="35" spans="1:11" x14ac:dyDescent="0.25">
      <c r="A35">
        <v>2020</v>
      </c>
      <c r="B35" s="1" t="s">
        <v>146</v>
      </c>
      <c r="C35" s="1" t="s">
        <v>147</v>
      </c>
      <c r="D35" s="1" t="s">
        <v>148</v>
      </c>
      <c r="E35">
        <v>1148</v>
      </c>
      <c r="F35" s="1" t="s">
        <v>53</v>
      </c>
      <c r="G35" s="1" t="s">
        <v>149</v>
      </c>
      <c r="H35">
        <v>2.31</v>
      </c>
      <c r="I35">
        <v>26</v>
      </c>
      <c r="J35">
        <v>6</v>
      </c>
      <c r="K35">
        <v>59.2</v>
      </c>
    </row>
    <row r="36" spans="1:11" x14ac:dyDescent="0.25">
      <c r="A36">
        <v>2021</v>
      </c>
      <c r="B36" s="1" t="s">
        <v>146</v>
      </c>
      <c r="C36" s="1" t="s">
        <v>147</v>
      </c>
      <c r="D36" s="1" t="s">
        <v>148</v>
      </c>
      <c r="E36">
        <v>1148</v>
      </c>
      <c r="F36" s="1" t="s">
        <v>53</v>
      </c>
      <c r="G36" s="1" t="s">
        <v>149</v>
      </c>
      <c r="H36">
        <v>3.65</v>
      </c>
      <c r="I36">
        <v>46</v>
      </c>
      <c r="J36">
        <v>13</v>
      </c>
      <c r="K36">
        <v>167.8</v>
      </c>
    </row>
    <row r="37" spans="1:11" x14ac:dyDescent="0.25">
      <c r="A37">
        <v>2022</v>
      </c>
      <c r="B37" s="1" t="s">
        <v>146</v>
      </c>
      <c r="C37" s="1" t="s">
        <v>147</v>
      </c>
      <c r="D37" s="1" t="s">
        <v>148</v>
      </c>
      <c r="E37">
        <v>1148</v>
      </c>
      <c r="F37" s="1" t="s">
        <v>53</v>
      </c>
      <c r="G37" s="1" t="s">
        <v>149</v>
      </c>
      <c r="H37">
        <v>5.48</v>
      </c>
      <c r="I37">
        <v>70</v>
      </c>
      <c r="J37">
        <v>16</v>
      </c>
      <c r="K37">
        <v>384.4</v>
      </c>
    </row>
    <row r="38" spans="1:11" x14ac:dyDescent="0.25">
      <c r="A38">
        <v>2023</v>
      </c>
      <c r="B38" s="1" t="s">
        <v>146</v>
      </c>
      <c r="C38" s="1" t="s">
        <v>147</v>
      </c>
      <c r="D38" s="1" t="s">
        <v>148</v>
      </c>
      <c r="E38">
        <v>1148</v>
      </c>
      <c r="F38" s="1" t="s">
        <v>53</v>
      </c>
      <c r="G38" s="1" t="s">
        <v>149</v>
      </c>
      <c r="H38">
        <v>6.42</v>
      </c>
      <c r="I38">
        <v>87</v>
      </c>
      <c r="J38">
        <v>20</v>
      </c>
      <c r="K38">
        <v>558.79999999999995</v>
      </c>
    </row>
    <row r="39" spans="1:11" x14ac:dyDescent="0.25">
      <c r="A39">
        <v>2024</v>
      </c>
      <c r="B39" s="1" t="s">
        <v>146</v>
      </c>
      <c r="C39" s="1" t="s">
        <v>147</v>
      </c>
      <c r="D39" s="1" t="s">
        <v>148</v>
      </c>
      <c r="E39">
        <v>1148</v>
      </c>
      <c r="F39" s="1" t="s">
        <v>53</v>
      </c>
      <c r="G39" s="1" t="s">
        <v>149</v>
      </c>
      <c r="H39">
        <v>7.5</v>
      </c>
      <c r="I39">
        <v>96</v>
      </c>
      <c r="J39">
        <v>23</v>
      </c>
      <c r="K39">
        <v>718.3</v>
      </c>
    </row>
    <row r="40" spans="1:11" x14ac:dyDescent="0.25">
      <c r="A40">
        <v>2025</v>
      </c>
      <c r="B40" s="1" t="s">
        <v>146</v>
      </c>
      <c r="C40" s="1" t="s">
        <v>147</v>
      </c>
      <c r="D40" s="1" t="s">
        <v>148</v>
      </c>
      <c r="E40">
        <v>1148</v>
      </c>
      <c r="F40" s="1" t="s">
        <v>53</v>
      </c>
      <c r="G40" s="1" t="s">
        <v>149</v>
      </c>
      <c r="H40">
        <v>8.5</v>
      </c>
      <c r="I40">
        <v>109</v>
      </c>
      <c r="J40">
        <v>25</v>
      </c>
      <c r="K40">
        <v>924.6</v>
      </c>
    </row>
    <row r="41" spans="1:11" x14ac:dyDescent="0.25">
      <c r="A41">
        <v>2026</v>
      </c>
      <c r="B41" s="1" t="s">
        <v>146</v>
      </c>
      <c r="C41" s="1" t="s">
        <v>147</v>
      </c>
      <c r="D41" s="1" t="s">
        <v>148</v>
      </c>
      <c r="E41">
        <v>1148</v>
      </c>
      <c r="F41" s="1" t="s">
        <v>53</v>
      </c>
      <c r="G41" s="1" t="s">
        <v>149</v>
      </c>
      <c r="H41">
        <v>8.1199999999999992</v>
      </c>
      <c r="I41">
        <v>102</v>
      </c>
      <c r="J41">
        <v>23</v>
      </c>
      <c r="K41">
        <v>831.3</v>
      </c>
    </row>
    <row r="42" spans="1:11" x14ac:dyDescent="0.25">
      <c r="A42">
        <v>2015</v>
      </c>
      <c r="B42" s="1" t="s">
        <v>150</v>
      </c>
      <c r="C42" s="1" t="s">
        <v>151</v>
      </c>
      <c r="D42" s="1" t="s">
        <v>152</v>
      </c>
      <c r="E42">
        <v>1080</v>
      </c>
      <c r="F42" s="1" t="s">
        <v>53</v>
      </c>
      <c r="G42" s="1" t="s">
        <v>153</v>
      </c>
      <c r="H42">
        <v>7.74</v>
      </c>
      <c r="I42">
        <v>74</v>
      </c>
      <c r="J42">
        <v>21</v>
      </c>
      <c r="K42">
        <v>576.20000000000005</v>
      </c>
    </row>
    <row r="43" spans="1:11" x14ac:dyDescent="0.25">
      <c r="A43">
        <v>2018</v>
      </c>
      <c r="B43" s="1" t="s">
        <v>150</v>
      </c>
      <c r="C43" s="1" t="s">
        <v>151</v>
      </c>
      <c r="D43" s="1" t="s">
        <v>152</v>
      </c>
      <c r="E43">
        <v>1080</v>
      </c>
      <c r="F43" s="1" t="s">
        <v>53</v>
      </c>
      <c r="G43" s="1" t="s">
        <v>153</v>
      </c>
      <c r="H43">
        <v>8.94</v>
      </c>
      <c r="I43">
        <v>90</v>
      </c>
      <c r="J43">
        <v>28</v>
      </c>
      <c r="K43">
        <v>803.2</v>
      </c>
    </row>
    <row r="44" spans="1:11" x14ac:dyDescent="0.25">
      <c r="A44">
        <v>2019</v>
      </c>
      <c r="B44" s="1" t="s">
        <v>150</v>
      </c>
      <c r="C44" s="1" t="s">
        <v>151</v>
      </c>
      <c r="D44" s="1" t="s">
        <v>152</v>
      </c>
      <c r="E44">
        <v>1080</v>
      </c>
      <c r="F44" s="1" t="s">
        <v>53</v>
      </c>
      <c r="G44" s="1" t="s">
        <v>153</v>
      </c>
      <c r="H44">
        <v>9.09</v>
      </c>
      <c r="I44">
        <v>95</v>
      </c>
      <c r="J44">
        <v>27</v>
      </c>
      <c r="K44">
        <v>862.1</v>
      </c>
    </row>
    <row r="45" spans="1:11" x14ac:dyDescent="0.25">
      <c r="A45">
        <v>2020</v>
      </c>
      <c r="B45" s="1" t="s">
        <v>150</v>
      </c>
      <c r="C45" s="1" t="s">
        <v>151</v>
      </c>
      <c r="D45" s="1" t="s">
        <v>152</v>
      </c>
      <c r="E45">
        <v>1080</v>
      </c>
      <c r="F45" s="1" t="s">
        <v>53</v>
      </c>
      <c r="G45" s="1" t="s">
        <v>153</v>
      </c>
      <c r="H45">
        <v>2.77</v>
      </c>
      <c r="I45">
        <v>29</v>
      </c>
      <c r="J45">
        <v>9</v>
      </c>
      <c r="K45">
        <v>81</v>
      </c>
    </row>
    <row r="46" spans="1:11" x14ac:dyDescent="0.25">
      <c r="A46">
        <v>2021</v>
      </c>
      <c r="B46" s="1" t="s">
        <v>150</v>
      </c>
      <c r="C46" s="1" t="s">
        <v>151</v>
      </c>
      <c r="D46" s="1" t="s">
        <v>152</v>
      </c>
      <c r="E46">
        <v>1080</v>
      </c>
      <c r="F46" s="1" t="s">
        <v>53</v>
      </c>
      <c r="G46" s="1" t="s">
        <v>153</v>
      </c>
      <c r="H46">
        <v>4.7300000000000004</v>
      </c>
      <c r="I46">
        <v>46</v>
      </c>
      <c r="J46">
        <v>13</v>
      </c>
      <c r="K46">
        <v>217</v>
      </c>
    </row>
    <row r="47" spans="1:11" x14ac:dyDescent="0.25">
      <c r="A47">
        <v>2022</v>
      </c>
      <c r="B47" s="1" t="s">
        <v>150</v>
      </c>
      <c r="C47" s="1" t="s">
        <v>151</v>
      </c>
      <c r="D47" s="1" t="s">
        <v>152</v>
      </c>
      <c r="E47">
        <v>1080</v>
      </c>
      <c r="F47" s="1" t="s">
        <v>53</v>
      </c>
      <c r="G47" s="1" t="s">
        <v>153</v>
      </c>
      <c r="H47">
        <v>6.63</v>
      </c>
      <c r="I47">
        <v>67</v>
      </c>
      <c r="J47">
        <v>19</v>
      </c>
      <c r="K47">
        <v>441.4</v>
      </c>
    </row>
    <row r="48" spans="1:11" x14ac:dyDescent="0.25">
      <c r="A48">
        <v>2023</v>
      </c>
      <c r="B48" s="1" t="s">
        <v>150</v>
      </c>
      <c r="C48" s="1" t="s">
        <v>151</v>
      </c>
      <c r="D48" s="1" t="s">
        <v>152</v>
      </c>
      <c r="E48">
        <v>1080</v>
      </c>
      <c r="F48" s="1" t="s">
        <v>53</v>
      </c>
      <c r="G48" s="1" t="s">
        <v>153</v>
      </c>
      <c r="H48">
        <v>8.48</v>
      </c>
      <c r="I48">
        <v>91</v>
      </c>
      <c r="J48">
        <v>26</v>
      </c>
      <c r="K48">
        <v>770.6</v>
      </c>
    </row>
    <row r="49" spans="1:11" x14ac:dyDescent="0.25">
      <c r="A49">
        <v>2024</v>
      </c>
      <c r="B49" s="1" t="s">
        <v>150</v>
      </c>
      <c r="C49" s="1" t="s">
        <v>151</v>
      </c>
      <c r="D49" s="1" t="s">
        <v>152</v>
      </c>
      <c r="E49">
        <v>1080</v>
      </c>
      <c r="F49" s="1" t="s">
        <v>53</v>
      </c>
      <c r="G49" s="1" t="s">
        <v>153</v>
      </c>
      <c r="H49">
        <v>9.4499999999999993</v>
      </c>
      <c r="I49">
        <v>100</v>
      </c>
      <c r="J49">
        <v>27</v>
      </c>
      <c r="K49">
        <v>940.6</v>
      </c>
    </row>
    <row r="50" spans="1:11" x14ac:dyDescent="0.25">
      <c r="A50">
        <v>2025</v>
      </c>
      <c r="B50" s="1" t="s">
        <v>150</v>
      </c>
      <c r="C50" s="1" t="s">
        <v>151</v>
      </c>
      <c r="D50" s="1" t="s">
        <v>152</v>
      </c>
      <c r="E50">
        <v>1080</v>
      </c>
      <c r="F50" s="1" t="s">
        <v>53</v>
      </c>
      <c r="G50" s="1" t="s">
        <v>153</v>
      </c>
      <c r="H50">
        <v>10.14</v>
      </c>
      <c r="I50">
        <v>98</v>
      </c>
      <c r="J50">
        <v>31</v>
      </c>
      <c r="K50">
        <v>997.5</v>
      </c>
    </row>
    <row r="51" spans="1:11" x14ac:dyDescent="0.25">
      <c r="A51">
        <v>2026</v>
      </c>
      <c r="B51" s="1" t="s">
        <v>150</v>
      </c>
      <c r="C51" s="1" t="s">
        <v>151</v>
      </c>
      <c r="D51" s="1" t="s">
        <v>152</v>
      </c>
      <c r="E51">
        <v>1080</v>
      </c>
      <c r="F51" s="1" t="s">
        <v>53</v>
      </c>
      <c r="G51" s="1" t="s">
        <v>153</v>
      </c>
      <c r="H51">
        <v>10.17</v>
      </c>
      <c r="I51">
        <v>111</v>
      </c>
      <c r="J51">
        <v>30</v>
      </c>
      <c r="K51">
        <v>1128.3</v>
      </c>
    </row>
    <row r="52" spans="1:11" x14ac:dyDescent="0.25">
      <c r="A52">
        <v>2015</v>
      </c>
      <c r="B52" s="1" t="s">
        <v>154</v>
      </c>
      <c r="C52" s="1" t="s">
        <v>68</v>
      </c>
      <c r="D52" s="1" t="s">
        <v>155</v>
      </c>
      <c r="E52">
        <v>813</v>
      </c>
      <c r="F52" s="1" t="s">
        <v>53</v>
      </c>
      <c r="G52" s="1" t="s">
        <v>156</v>
      </c>
      <c r="H52">
        <v>8.51</v>
      </c>
      <c r="I52">
        <v>71</v>
      </c>
      <c r="J52">
        <v>26</v>
      </c>
      <c r="K52">
        <v>605.9</v>
      </c>
    </row>
    <row r="53" spans="1:11" x14ac:dyDescent="0.25">
      <c r="A53">
        <v>2018</v>
      </c>
      <c r="B53" s="1" t="s">
        <v>154</v>
      </c>
      <c r="C53" s="1" t="s">
        <v>68</v>
      </c>
      <c r="D53" s="1" t="s">
        <v>155</v>
      </c>
      <c r="E53">
        <v>813</v>
      </c>
      <c r="F53" s="1" t="s">
        <v>53</v>
      </c>
      <c r="G53" s="1" t="s">
        <v>156</v>
      </c>
      <c r="H53">
        <v>10.11</v>
      </c>
      <c r="I53">
        <v>90</v>
      </c>
      <c r="J53">
        <v>31</v>
      </c>
      <c r="K53">
        <v>906.2</v>
      </c>
    </row>
    <row r="54" spans="1:11" x14ac:dyDescent="0.25">
      <c r="A54">
        <v>2019</v>
      </c>
      <c r="B54" s="1" t="s">
        <v>154</v>
      </c>
      <c r="C54" s="1" t="s">
        <v>68</v>
      </c>
      <c r="D54" s="1" t="s">
        <v>155</v>
      </c>
      <c r="E54">
        <v>813</v>
      </c>
      <c r="F54" s="1" t="s">
        <v>53</v>
      </c>
      <c r="G54" s="1" t="s">
        <v>156</v>
      </c>
      <c r="H54">
        <v>10.39</v>
      </c>
      <c r="I54">
        <v>81</v>
      </c>
      <c r="J54">
        <v>31</v>
      </c>
      <c r="K54">
        <v>841.6</v>
      </c>
    </row>
    <row r="55" spans="1:11" x14ac:dyDescent="0.25">
      <c r="A55">
        <v>2020</v>
      </c>
      <c r="B55" s="1" t="s">
        <v>154</v>
      </c>
      <c r="C55" s="1" t="s">
        <v>68</v>
      </c>
      <c r="D55" s="1" t="s">
        <v>155</v>
      </c>
      <c r="E55">
        <v>813</v>
      </c>
      <c r="F55" s="1" t="s">
        <v>53</v>
      </c>
      <c r="G55" s="1" t="s">
        <v>156</v>
      </c>
      <c r="H55">
        <v>3.05</v>
      </c>
      <c r="I55">
        <v>27</v>
      </c>
      <c r="J55">
        <v>9</v>
      </c>
      <c r="K55">
        <v>81.099999999999994</v>
      </c>
    </row>
    <row r="56" spans="1:11" x14ac:dyDescent="0.25">
      <c r="A56">
        <v>2021</v>
      </c>
      <c r="B56" s="1" t="s">
        <v>154</v>
      </c>
      <c r="C56" s="1" t="s">
        <v>68</v>
      </c>
      <c r="D56" s="1" t="s">
        <v>155</v>
      </c>
      <c r="E56">
        <v>813</v>
      </c>
      <c r="F56" s="1" t="s">
        <v>53</v>
      </c>
      <c r="G56" s="1" t="s">
        <v>156</v>
      </c>
      <c r="H56">
        <v>5.32</v>
      </c>
      <c r="I56">
        <v>43</v>
      </c>
      <c r="J56">
        <v>17</v>
      </c>
      <c r="K56">
        <v>228.6</v>
      </c>
    </row>
    <row r="57" spans="1:11" x14ac:dyDescent="0.25">
      <c r="A57">
        <v>2022</v>
      </c>
      <c r="B57" s="1" t="s">
        <v>154</v>
      </c>
      <c r="C57" s="1" t="s">
        <v>68</v>
      </c>
      <c r="D57" s="1" t="s">
        <v>155</v>
      </c>
      <c r="E57">
        <v>813</v>
      </c>
      <c r="F57" s="1" t="s">
        <v>53</v>
      </c>
      <c r="G57" s="1" t="s">
        <v>156</v>
      </c>
      <c r="H57">
        <v>7.95</v>
      </c>
      <c r="I57">
        <v>61</v>
      </c>
      <c r="J57">
        <v>25</v>
      </c>
      <c r="K57">
        <v>488.5</v>
      </c>
    </row>
    <row r="58" spans="1:11" x14ac:dyDescent="0.25">
      <c r="A58">
        <v>2023</v>
      </c>
      <c r="B58" s="1" t="s">
        <v>154</v>
      </c>
      <c r="C58" s="1" t="s">
        <v>68</v>
      </c>
      <c r="D58" s="1" t="s">
        <v>155</v>
      </c>
      <c r="E58">
        <v>813</v>
      </c>
      <c r="F58" s="1" t="s">
        <v>53</v>
      </c>
      <c r="G58" s="1" t="s">
        <v>156</v>
      </c>
      <c r="H58">
        <v>10.39</v>
      </c>
      <c r="I58">
        <v>77</v>
      </c>
      <c r="J58">
        <v>31</v>
      </c>
      <c r="K58">
        <v>799.1</v>
      </c>
    </row>
    <row r="59" spans="1:11" x14ac:dyDescent="0.25">
      <c r="A59">
        <v>2024</v>
      </c>
      <c r="B59" s="1" t="s">
        <v>154</v>
      </c>
      <c r="C59" s="1" t="s">
        <v>68</v>
      </c>
      <c r="D59" s="1" t="s">
        <v>155</v>
      </c>
      <c r="E59">
        <v>813</v>
      </c>
      <c r="F59" s="1" t="s">
        <v>53</v>
      </c>
      <c r="G59" s="1" t="s">
        <v>156</v>
      </c>
      <c r="H59">
        <v>11.14</v>
      </c>
      <c r="I59">
        <v>89</v>
      </c>
      <c r="J59">
        <v>32</v>
      </c>
      <c r="K59">
        <v>986.1</v>
      </c>
    </row>
    <row r="60" spans="1:11" x14ac:dyDescent="0.25">
      <c r="A60">
        <v>2025</v>
      </c>
      <c r="B60" s="1" t="s">
        <v>154</v>
      </c>
      <c r="C60" s="1" t="s">
        <v>68</v>
      </c>
      <c r="D60" s="1" t="s">
        <v>155</v>
      </c>
      <c r="E60">
        <v>813</v>
      </c>
      <c r="F60" s="1" t="s">
        <v>53</v>
      </c>
      <c r="G60" s="1" t="s">
        <v>156</v>
      </c>
      <c r="H60">
        <v>10.88</v>
      </c>
      <c r="I60">
        <v>86</v>
      </c>
      <c r="J60">
        <v>31</v>
      </c>
      <c r="K60">
        <v>936.6</v>
      </c>
    </row>
    <row r="61" spans="1:11" x14ac:dyDescent="0.25">
      <c r="A61">
        <v>2026</v>
      </c>
      <c r="B61" s="1" t="s">
        <v>154</v>
      </c>
      <c r="C61" s="1" t="s">
        <v>68</v>
      </c>
      <c r="D61" s="1" t="s">
        <v>155</v>
      </c>
      <c r="E61">
        <v>813</v>
      </c>
      <c r="F61" s="1" t="s">
        <v>53</v>
      </c>
      <c r="G61" s="1" t="s">
        <v>156</v>
      </c>
      <c r="H61">
        <v>11.49</v>
      </c>
      <c r="I61">
        <v>96</v>
      </c>
      <c r="J61">
        <v>34</v>
      </c>
      <c r="K61">
        <v>1102.8</v>
      </c>
    </row>
    <row r="62" spans="1:11" x14ac:dyDescent="0.25">
      <c r="A62">
        <v>2015</v>
      </c>
      <c r="B62" s="1" t="s">
        <v>157</v>
      </c>
      <c r="C62" s="1" t="s">
        <v>158</v>
      </c>
      <c r="D62" s="1" t="s">
        <v>159</v>
      </c>
      <c r="E62">
        <v>297</v>
      </c>
      <c r="F62" s="1" t="s">
        <v>53</v>
      </c>
      <c r="G62" s="1" t="s">
        <v>160</v>
      </c>
      <c r="H62">
        <v>5.23</v>
      </c>
      <c r="I62">
        <v>51</v>
      </c>
      <c r="J62">
        <v>16</v>
      </c>
      <c r="K62">
        <v>267.8</v>
      </c>
    </row>
    <row r="63" spans="1:11" x14ac:dyDescent="0.25">
      <c r="A63">
        <v>2018</v>
      </c>
      <c r="B63" s="1" t="s">
        <v>157</v>
      </c>
      <c r="C63" s="1" t="s">
        <v>158</v>
      </c>
      <c r="D63" s="1" t="s">
        <v>159</v>
      </c>
      <c r="E63">
        <v>297</v>
      </c>
      <c r="F63" s="1" t="s">
        <v>53</v>
      </c>
      <c r="G63" s="1" t="s">
        <v>160</v>
      </c>
      <c r="H63">
        <v>6.29</v>
      </c>
      <c r="I63">
        <v>56</v>
      </c>
      <c r="J63">
        <v>19</v>
      </c>
      <c r="K63">
        <v>354.1</v>
      </c>
    </row>
    <row r="64" spans="1:11" x14ac:dyDescent="0.25">
      <c r="A64">
        <v>2019</v>
      </c>
      <c r="B64" s="1" t="s">
        <v>157</v>
      </c>
      <c r="C64" s="1" t="s">
        <v>158</v>
      </c>
      <c r="D64" s="1" t="s">
        <v>159</v>
      </c>
      <c r="E64">
        <v>297</v>
      </c>
      <c r="F64" s="1" t="s">
        <v>53</v>
      </c>
      <c r="G64" s="1" t="s">
        <v>160</v>
      </c>
      <c r="H64">
        <v>7.06</v>
      </c>
      <c r="I64">
        <v>62</v>
      </c>
      <c r="J64">
        <v>20</v>
      </c>
      <c r="K64">
        <v>436.5</v>
      </c>
    </row>
    <row r="65" spans="1:11" x14ac:dyDescent="0.25">
      <c r="A65">
        <v>2020</v>
      </c>
      <c r="B65" s="1" t="s">
        <v>157</v>
      </c>
      <c r="C65" s="1" t="s">
        <v>158</v>
      </c>
      <c r="D65" s="1" t="s">
        <v>159</v>
      </c>
      <c r="E65">
        <v>297</v>
      </c>
      <c r="F65" s="1" t="s">
        <v>53</v>
      </c>
      <c r="G65" s="1" t="s">
        <v>160</v>
      </c>
      <c r="H65">
        <v>1.93</v>
      </c>
      <c r="I65">
        <v>19</v>
      </c>
      <c r="J65">
        <v>5</v>
      </c>
      <c r="K65">
        <v>36</v>
      </c>
    </row>
    <row r="66" spans="1:11" x14ac:dyDescent="0.25">
      <c r="A66">
        <v>2021</v>
      </c>
      <c r="B66" s="1" t="s">
        <v>157</v>
      </c>
      <c r="C66" s="1" t="s">
        <v>158</v>
      </c>
      <c r="D66" s="1" t="s">
        <v>159</v>
      </c>
      <c r="E66">
        <v>297</v>
      </c>
      <c r="F66" s="1" t="s">
        <v>53</v>
      </c>
      <c r="G66" s="1" t="s">
        <v>160</v>
      </c>
      <c r="H66">
        <v>3.23</v>
      </c>
      <c r="I66">
        <v>28</v>
      </c>
      <c r="J66">
        <v>8</v>
      </c>
      <c r="K66">
        <v>91.6</v>
      </c>
    </row>
    <row r="67" spans="1:11" x14ac:dyDescent="0.25">
      <c r="A67">
        <v>2022</v>
      </c>
      <c r="B67" s="1" t="s">
        <v>157</v>
      </c>
      <c r="C67" s="1" t="s">
        <v>158</v>
      </c>
      <c r="D67" s="1" t="s">
        <v>159</v>
      </c>
      <c r="E67">
        <v>297</v>
      </c>
      <c r="F67" s="1" t="s">
        <v>53</v>
      </c>
      <c r="G67" s="1" t="s">
        <v>160</v>
      </c>
      <c r="H67">
        <v>4.82</v>
      </c>
      <c r="I67">
        <v>46</v>
      </c>
      <c r="J67">
        <v>13</v>
      </c>
      <c r="K67">
        <v>221.6</v>
      </c>
    </row>
    <row r="68" spans="1:11" x14ac:dyDescent="0.25">
      <c r="A68">
        <v>2023</v>
      </c>
      <c r="B68" s="1" t="s">
        <v>157</v>
      </c>
      <c r="C68" s="1" t="s">
        <v>158</v>
      </c>
      <c r="D68" s="1" t="s">
        <v>159</v>
      </c>
      <c r="E68">
        <v>297</v>
      </c>
      <c r="F68" s="1" t="s">
        <v>53</v>
      </c>
      <c r="G68" s="1" t="s">
        <v>160</v>
      </c>
      <c r="H68">
        <v>6.1</v>
      </c>
      <c r="I68">
        <v>59</v>
      </c>
      <c r="J68">
        <v>19</v>
      </c>
      <c r="K68">
        <v>359.9</v>
      </c>
    </row>
    <row r="69" spans="1:11" x14ac:dyDescent="0.25">
      <c r="A69">
        <v>2024</v>
      </c>
      <c r="B69" s="1" t="s">
        <v>157</v>
      </c>
      <c r="C69" s="1" t="s">
        <v>158</v>
      </c>
      <c r="D69" s="1" t="s">
        <v>159</v>
      </c>
      <c r="E69">
        <v>297</v>
      </c>
      <c r="F69" s="1" t="s">
        <v>53</v>
      </c>
      <c r="G69" s="1" t="s">
        <v>160</v>
      </c>
      <c r="H69">
        <v>6.76</v>
      </c>
      <c r="I69">
        <v>67</v>
      </c>
      <c r="J69">
        <v>19</v>
      </c>
      <c r="K69">
        <v>450.1</v>
      </c>
    </row>
    <row r="70" spans="1:11" x14ac:dyDescent="0.25">
      <c r="A70">
        <v>2025</v>
      </c>
      <c r="B70" s="1" t="s">
        <v>157</v>
      </c>
      <c r="C70" s="1" t="s">
        <v>158</v>
      </c>
      <c r="D70" s="1" t="s">
        <v>159</v>
      </c>
      <c r="E70">
        <v>297</v>
      </c>
      <c r="F70" s="1" t="s">
        <v>53</v>
      </c>
      <c r="G70" s="1" t="s">
        <v>160</v>
      </c>
      <c r="H70">
        <v>7.28</v>
      </c>
      <c r="I70">
        <v>70</v>
      </c>
      <c r="J70">
        <v>22</v>
      </c>
      <c r="K70">
        <v>506.7</v>
      </c>
    </row>
    <row r="71" spans="1:11" x14ac:dyDescent="0.25">
      <c r="A71">
        <v>2026</v>
      </c>
      <c r="B71" s="1" t="s">
        <v>157</v>
      </c>
      <c r="C71" s="1" t="s">
        <v>158</v>
      </c>
      <c r="D71" s="1" t="s">
        <v>159</v>
      </c>
      <c r="E71">
        <v>297</v>
      </c>
      <c r="F71" s="1" t="s">
        <v>53</v>
      </c>
      <c r="G71" s="1" t="s">
        <v>160</v>
      </c>
      <c r="H71">
        <v>7.45</v>
      </c>
      <c r="I71">
        <v>72</v>
      </c>
      <c r="J71">
        <v>22</v>
      </c>
      <c r="K71">
        <v>535.1</v>
      </c>
    </row>
    <row r="72" spans="1:11" x14ac:dyDescent="0.25">
      <c r="A72">
        <v>2015</v>
      </c>
      <c r="B72" s="1" t="s">
        <v>161</v>
      </c>
      <c r="C72" s="1" t="s">
        <v>162</v>
      </c>
      <c r="D72" s="1" t="s">
        <v>163</v>
      </c>
      <c r="E72">
        <v>5482</v>
      </c>
      <c r="F72" s="1" t="s">
        <v>81</v>
      </c>
      <c r="G72" s="1" t="s">
        <v>164</v>
      </c>
      <c r="H72">
        <v>3.3</v>
      </c>
      <c r="I72">
        <v>220</v>
      </c>
      <c r="J72">
        <v>9</v>
      </c>
      <c r="K72">
        <v>726.8</v>
      </c>
    </row>
    <row r="73" spans="1:11" x14ac:dyDescent="0.25">
      <c r="A73">
        <v>2018</v>
      </c>
      <c r="B73" s="1" t="s">
        <v>161</v>
      </c>
      <c r="C73" s="1" t="s">
        <v>162</v>
      </c>
      <c r="D73" s="1" t="s">
        <v>163</v>
      </c>
      <c r="E73">
        <v>5482</v>
      </c>
      <c r="F73" s="1" t="s">
        <v>81</v>
      </c>
      <c r="G73" s="1" t="s">
        <v>164</v>
      </c>
      <c r="H73">
        <v>3.56</v>
      </c>
      <c r="I73">
        <v>262</v>
      </c>
      <c r="J73">
        <v>9</v>
      </c>
      <c r="K73">
        <v>934.4</v>
      </c>
    </row>
    <row r="74" spans="1:11" x14ac:dyDescent="0.25">
      <c r="A74">
        <v>2019</v>
      </c>
      <c r="B74" s="1" t="s">
        <v>161</v>
      </c>
      <c r="C74" s="1" t="s">
        <v>162</v>
      </c>
      <c r="D74" s="1" t="s">
        <v>163</v>
      </c>
      <c r="E74">
        <v>5482</v>
      </c>
      <c r="F74" s="1" t="s">
        <v>81</v>
      </c>
      <c r="G74" s="1" t="s">
        <v>164</v>
      </c>
      <c r="H74">
        <v>3.71</v>
      </c>
      <c r="I74">
        <v>268</v>
      </c>
      <c r="J74">
        <v>8</v>
      </c>
      <c r="K74">
        <v>993.9</v>
      </c>
    </row>
    <row r="75" spans="1:11" x14ac:dyDescent="0.25">
      <c r="A75">
        <v>2020</v>
      </c>
      <c r="B75" s="1" t="s">
        <v>161</v>
      </c>
      <c r="C75" s="1" t="s">
        <v>162</v>
      </c>
      <c r="D75" s="1" t="s">
        <v>163</v>
      </c>
      <c r="E75">
        <v>5482</v>
      </c>
      <c r="F75" s="1" t="s">
        <v>81</v>
      </c>
      <c r="G75" s="1" t="s">
        <v>164</v>
      </c>
      <c r="H75">
        <v>1.1100000000000001</v>
      </c>
      <c r="I75">
        <v>80</v>
      </c>
      <c r="J75">
        <v>3</v>
      </c>
      <c r="K75">
        <v>88.6</v>
      </c>
    </row>
    <row r="76" spans="1:11" x14ac:dyDescent="0.25">
      <c r="A76">
        <v>2021</v>
      </c>
      <c r="B76" s="1" t="s">
        <v>161</v>
      </c>
      <c r="C76" s="1" t="s">
        <v>162</v>
      </c>
      <c r="D76" s="1" t="s">
        <v>163</v>
      </c>
      <c r="E76">
        <v>5482</v>
      </c>
      <c r="F76" s="1" t="s">
        <v>81</v>
      </c>
      <c r="G76" s="1" t="s">
        <v>164</v>
      </c>
      <c r="H76">
        <v>1.97</v>
      </c>
      <c r="I76">
        <v>125</v>
      </c>
      <c r="J76">
        <v>5</v>
      </c>
      <c r="K76">
        <v>246.6</v>
      </c>
    </row>
    <row r="77" spans="1:11" x14ac:dyDescent="0.25">
      <c r="A77">
        <v>2022</v>
      </c>
      <c r="B77" s="1" t="s">
        <v>161</v>
      </c>
      <c r="C77" s="1" t="s">
        <v>162</v>
      </c>
      <c r="D77" s="1" t="s">
        <v>163</v>
      </c>
      <c r="E77">
        <v>5482</v>
      </c>
      <c r="F77" s="1" t="s">
        <v>81</v>
      </c>
      <c r="G77" s="1" t="s">
        <v>164</v>
      </c>
      <c r="H77">
        <v>2.52</v>
      </c>
      <c r="I77">
        <v>196</v>
      </c>
      <c r="J77">
        <v>7</v>
      </c>
      <c r="K77">
        <v>493.5</v>
      </c>
    </row>
    <row r="78" spans="1:11" x14ac:dyDescent="0.25">
      <c r="A78">
        <v>2023</v>
      </c>
      <c r="B78" s="1" t="s">
        <v>161</v>
      </c>
      <c r="C78" s="1" t="s">
        <v>162</v>
      </c>
      <c r="D78" s="1" t="s">
        <v>163</v>
      </c>
      <c r="E78">
        <v>5482</v>
      </c>
      <c r="F78" s="1" t="s">
        <v>81</v>
      </c>
      <c r="G78" s="1" t="s">
        <v>164</v>
      </c>
      <c r="H78">
        <v>3.47</v>
      </c>
      <c r="I78">
        <v>273</v>
      </c>
      <c r="J78">
        <v>11</v>
      </c>
      <c r="K78">
        <v>947.5</v>
      </c>
    </row>
    <row r="79" spans="1:11" x14ac:dyDescent="0.25">
      <c r="A79">
        <v>2024</v>
      </c>
      <c r="B79" s="1" t="s">
        <v>161</v>
      </c>
      <c r="C79" s="1" t="s">
        <v>162</v>
      </c>
      <c r="D79" s="1" t="s">
        <v>163</v>
      </c>
      <c r="E79">
        <v>5482</v>
      </c>
      <c r="F79" s="1" t="s">
        <v>81</v>
      </c>
      <c r="G79" s="1" t="s">
        <v>164</v>
      </c>
      <c r="H79">
        <v>3.92</v>
      </c>
      <c r="I79">
        <v>277</v>
      </c>
      <c r="J79">
        <v>12</v>
      </c>
      <c r="K79">
        <v>1084.4000000000001</v>
      </c>
    </row>
    <row r="80" spans="1:11" x14ac:dyDescent="0.25">
      <c r="A80">
        <v>2025</v>
      </c>
      <c r="B80" s="1" t="s">
        <v>161</v>
      </c>
      <c r="C80" s="1" t="s">
        <v>162</v>
      </c>
      <c r="D80" s="1" t="s">
        <v>163</v>
      </c>
      <c r="E80">
        <v>5482</v>
      </c>
      <c r="F80" s="1" t="s">
        <v>81</v>
      </c>
      <c r="G80" s="1" t="s">
        <v>164</v>
      </c>
      <c r="H80">
        <v>4.09</v>
      </c>
      <c r="I80">
        <v>282</v>
      </c>
      <c r="J80">
        <v>10</v>
      </c>
      <c r="K80">
        <v>1154.0999999999999</v>
      </c>
    </row>
    <row r="81" spans="1:11" x14ac:dyDescent="0.25">
      <c r="A81">
        <v>2026</v>
      </c>
      <c r="B81" s="1" t="s">
        <v>161</v>
      </c>
      <c r="C81" s="1" t="s">
        <v>162</v>
      </c>
      <c r="D81" s="1" t="s">
        <v>163</v>
      </c>
      <c r="E81">
        <v>5482</v>
      </c>
      <c r="F81" s="1" t="s">
        <v>81</v>
      </c>
      <c r="G81" s="1" t="s">
        <v>164</v>
      </c>
      <c r="H81">
        <v>4.0999999999999996</v>
      </c>
      <c r="I81">
        <v>316</v>
      </c>
      <c r="J81">
        <v>14</v>
      </c>
      <c r="K81">
        <v>1292.8</v>
      </c>
    </row>
    <row r="82" spans="1:11" x14ac:dyDescent="0.25">
      <c r="A82">
        <v>2015</v>
      </c>
      <c r="B82" s="1" t="s">
        <v>165</v>
      </c>
      <c r="C82" s="1" t="s">
        <v>162</v>
      </c>
      <c r="D82" s="1" t="s">
        <v>147</v>
      </c>
      <c r="E82">
        <v>1928</v>
      </c>
      <c r="F82" s="1" t="s">
        <v>81</v>
      </c>
      <c r="G82" s="1" t="s">
        <v>166</v>
      </c>
      <c r="H82">
        <v>3.47</v>
      </c>
      <c r="I82">
        <v>101</v>
      </c>
      <c r="J82">
        <v>10</v>
      </c>
      <c r="K82">
        <v>348.9</v>
      </c>
    </row>
    <row r="83" spans="1:11" x14ac:dyDescent="0.25">
      <c r="A83">
        <v>2018</v>
      </c>
      <c r="B83" s="1" t="s">
        <v>165</v>
      </c>
      <c r="C83" s="1" t="s">
        <v>162</v>
      </c>
      <c r="D83" s="1" t="s">
        <v>147</v>
      </c>
      <c r="E83">
        <v>1928</v>
      </c>
      <c r="F83" s="1" t="s">
        <v>81</v>
      </c>
      <c r="G83" s="1" t="s">
        <v>166</v>
      </c>
      <c r="H83">
        <v>3.72</v>
      </c>
      <c r="I83">
        <v>125</v>
      </c>
      <c r="J83">
        <v>11</v>
      </c>
      <c r="K83">
        <v>464.7</v>
      </c>
    </row>
    <row r="84" spans="1:11" x14ac:dyDescent="0.25">
      <c r="A84">
        <v>2019</v>
      </c>
      <c r="B84" s="1" t="s">
        <v>165</v>
      </c>
      <c r="C84" s="1" t="s">
        <v>162</v>
      </c>
      <c r="D84" s="1" t="s">
        <v>147</v>
      </c>
      <c r="E84">
        <v>1928</v>
      </c>
      <c r="F84" s="1" t="s">
        <v>81</v>
      </c>
      <c r="G84" s="1" t="s">
        <v>166</v>
      </c>
      <c r="H84">
        <v>4.28</v>
      </c>
      <c r="I84">
        <v>125</v>
      </c>
      <c r="J84">
        <v>13</v>
      </c>
      <c r="K84">
        <v>536.9</v>
      </c>
    </row>
    <row r="85" spans="1:11" x14ac:dyDescent="0.25">
      <c r="A85">
        <v>2020</v>
      </c>
      <c r="B85" s="1" t="s">
        <v>165</v>
      </c>
      <c r="C85" s="1" t="s">
        <v>162</v>
      </c>
      <c r="D85" s="1" t="s">
        <v>147</v>
      </c>
      <c r="E85">
        <v>1928</v>
      </c>
      <c r="F85" s="1" t="s">
        <v>81</v>
      </c>
      <c r="G85" s="1" t="s">
        <v>166</v>
      </c>
      <c r="H85">
        <v>1.27</v>
      </c>
      <c r="I85">
        <v>36</v>
      </c>
      <c r="J85">
        <v>5</v>
      </c>
      <c r="K85">
        <v>46.2</v>
      </c>
    </row>
    <row r="86" spans="1:11" x14ac:dyDescent="0.25">
      <c r="A86">
        <v>2021</v>
      </c>
      <c r="B86" s="1" t="s">
        <v>165</v>
      </c>
      <c r="C86" s="1" t="s">
        <v>162</v>
      </c>
      <c r="D86" s="1" t="s">
        <v>147</v>
      </c>
      <c r="E86">
        <v>1928</v>
      </c>
      <c r="F86" s="1" t="s">
        <v>81</v>
      </c>
      <c r="G86" s="1" t="s">
        <v>166</v>
      </c>
      <c r="H86">
        <v>2.0699999999999998</v>
      </c>
      <c r="I86">
        <v>67</v>
      </c>
      <c r="J86">
        <v>3</v>
      </c>
      <c r="K86">
        <v>138.1</v>
      </c>
    </row>
    <row r="87" spans="1:11" x14ac:dyDescent="0.25">
      <c r="A87">
        <v>2022</v>
      </c>
      <c r="B87" s="1" t="s">
        <v>165</v>
      </c>
      <c r="C87" s="1" t="s">
        <v>162</v>
      </c>
      <c r="D87" s="1" t="s">
        <v>147</v>
      </c>
      <c r="E87">
        <v>1928</v>
      </c>
      <c r="F87" s="1" t="s">
        <v>81</v>
      </c>
      <c r="G87" s="1" t="s">
        <v>166</v>
      </c>
      <c r="H87">
        <v>3.32</v>
      </c>
      <c r="I87">
        <v>104</v>
      </c>
      <c r="J87">
        <v>9</v>
      </c>
      <c r="K87">
        <v>345.6</v>
      </c>
    </row>
    <row r="88" spans="1:11" x14ac:dyDescent="0.25">
      <c r="A88">
        <v>2023</v>
      </c>
      <c r="B88" s="1" t="s">
        <v>165</v>
      </c>
      <c r="C88" s="1" t="s">
        <v>162</v>
      </c>
      <c r="D88" s="1" t="s">
        <v>147</v>
      </c>
      <c r="E88">
        <v>1928</v>
      </c>
      <c r="F88" s="1" t="s">
        <v>81</v>
      </c>
      <c r="G88" s="1" t="s">
        <v>166</v>
      </c>
      <c r="H88">
        <v>4.09</v>
      </c>
      <c r="I88">
        <v>125</v>
      </c>
      <c r="J88">
        <v>11</v>
      </c>
      <c r="K88">
        <v>510.2</v>
      </c>
    </row>
    <row r="89" spans="1:11" x14ac:dyDescent="0.25">
      <c r="A89">
        <v>2024</v>
      </c>
      <c r="B89" s="1" t="s">
        <v>165</v>
      </c>
      <c r="C89" s="1" t="s">
        <v>162</v>
      </c>
      <c r="D89" s="1" t="s">
        <v>147</v>
      </c>
      <c r="E89">
        <v>1928</v>
      </c>
      <c r="F89" s="1" t="s">
        <v>81</v>
      </c>
      <c r="G89" s="1" t="s">
        <v>166</v>
      </c>
      <c r="H89">
        <v>4.51</v>
      </c>
      <c r="I89">
        <v>127</v>
      </c>
      <c r="J89">
        <v>12</v>
      </c>
      <c r="K89">
        <v>573.9</v>
      </c>
    </row>
    <row r="90" spans="1:11" x14ac:dyDescent="0.25">
      <c r="A90">
        <v>2025</v>
      </c>
      <c r="B90" s="1" t="s">
        <v>165</v>
      </c>
      <c r="C90" s="1" t="s">
        <v>162</v>
      </c>
      <c r="D90" s="1" t="s">
        <v>147</v>
      </c>
      <c r="E90">
        <v>1928</v>
      </c>
      <c r="F90" s="1" t="s">
        <v>81</v>
      </c>
      <c r="G90" s="1" t="s">
        <v>166</v>
      </c>
      <c r="H90">
        <v>4.84</v>
      </c>
      <c r="I90">
        <v>148</v>
      </c>
      <c r="J90">
        <v>13</v>
      </c>
      <c r="K90">
        <v>717.4</v>
      </c>
    </row>
    <row r="91" spans="1:11" x14ac:dyDescent="0.25">
      <c r="A91">
        <v>2026</v>
      </c>
      <c r="B91" s="1" t="s">
        <v>165</v>
      </c>
      <c r="C91" s="1" t="s">
        <v>162</v>
      </c>
      <c r="D91" s="1" t="s">
        <v>147</v>
      </c>
      <c r="E91">
        <v>1928</v>
      </c>
      <c r="F91" s="1" t="s">
        <v>81</v>
      </c>
      <c r="G91" s="1" t="s">
        <v>166</v>
      </c>
      <c r="H91">
        <v>4.57</v>
      </c>
      <c r="I91">
        <v>137</v>
      </c>
      <c r="J91">
        <v>14</v>
      </c>
      <c r="K91">
        <v>626.4</v>
      </c>
    </row>
    <row r="92" spans="1:11" x14ac:dyDescent="0.25">
      <c r="A92">
        <v>2015</v>
      </c>
      <c r="B92" s="1" t="s">
        <v>167</v>
      </c>
      <c r="C92" s="1" t="s">
        <v>168</v>
      </c>
      <c r="D92" s="1" t="s">
        <v>163</v>
      </c>
      <c r="E92">
        <v>5266</v>
      </c>
      <c r="F92" s="1" t="s">
        <v>81</v>
      </c>
      <c r="G92" s="1" t="s">
        <v>169</v>
      </c>
      <c r="H92">
        <v>3.39</v>
      </c>
      <c r="I92">
        <v>232</v>
      </c>
      <c r="J92">
        <v>10</v>
      </c>
      <c r="K92">
        <v>784.6</v>
      </c>
    </row>
    <row r="93" spans="1:11" x14ac:dyDescent="0.25">
      <c r="A93">
        <v>2018</v>
      </c>
      <c r="B93" s="1" t="s">
        <v>167</v>
      </c>
      <c r="C93" s="1" t="s">
        <v>168</v>
      </c>
      <c r="D93" s="1" t="s">
        <v>163</v>
      </c>
      <c r="E93">
        <v>5266</v>
      </c>
      <c r="F93" s="1" t="s">
        <v>81</v>
      </c>
      <c r="G93" s="1" t="s">
        <v>169</v>
      </c>
      <c r="H93">
        <v>3.89</v>
      </c>
      <c r="I93">
        <v>243</v>
      </c>
      <c r="J93">
        <v>11</v>
      </c>
      <c r="K93">
        <v>944.6</v>
      </c>
    </row>
    <row r="94" spans="1:11" x14ac:dyDescent="0.25">
      <c r="A94">
        <v>2019</v>
      </c>
      <c r="B94" s="1" t="s">
        <v>167</v>
      </c>
      <c r="C94" s="1" t="s">
        <v>168</v>
      </c>
      <c r="D94" s="1" t="s">
        <v>163</v>
      </c>
      <c r="E94">
        <v>5266</v>
      </c>
      <c r="F94" s="1" t="s">
        <v>81</v>
      </c>
      <c r="G94" s="1" t="s">
        <v>169</v>
      </c>
      <c r="H94">
        <v>3.78</v>
      </c>
      <c r="I94">
        <v>277</v>
      </c>
      <c r="J94">
        <v>10</v>
      </c>
      <c r="K94">
        <v>1046.4000000000001</v>
      </c>
    </row>
    <row r="95" spans="1:11" x14ac:dyDescent="0.25">
      <c r="A95">
        <v>2020</v>
      </c>
      <c r="B95" s="1" t="s">
        <v>167</v>
      </c>
      <c r="C95" s="1" t="s">
        <v>168</v>
      </c>
      <c r="D95" s="1" t="s">
        <v>163</v>
      </c>
      <c r="E95">
        <v>5266</v>
      </c>
      <c r="F95" s="1" t="s">
        <v>81</v>
      </c>
      <c r="G95" s="1" t="s">
        <v>169</v>
      </c>
      <c r="H95">
        <v>1.19</v>
      </c>
      <c r="I95">
        <v>78</v>
      </c>
      <c r="J95">
        <v>2</v>
      </c>
      <c r="K95">
        <v>93</v>
      </c>
    </row>
    <row r="96" spans="1:11" x14ac:dyDescent="0.25">
      <c r="A96">
        <v>2021</v>
      </c>
      <c r="B96" s="1" t="s">
        <v>167</v>
      </c>
      <c r="C96" s="1" t="s">
        <v>168</v>
      </c>
      <c r="D96" s="1" t="s">
        <v>163</v>
      </c>
      <c r="E96">
        <v>5266</v>
      </c>
      <c r="F96" s="1" t="s">
        <v>81</v>
      </c>
      <c r="G96" s="1" t="s">
        <v>169</v>
      </c>
      <c r="H96">
        <v>1.92</v>
      </c>
      <c r="I96">
        <v>142</v>
      </c>
      <c r="J96">
        <v>5</v>
      </c>
      <c r="K96">
        <v>271.39999999999998</v>
      </c>
    </row>
    <row r="97" spans="1:11" x14ac:dyDescent="0.25">
      <c r="A97">
        <v>2022</v>
      </c>
      <c r="B97" s="1" t="s">
        <v>167</v>
      </c>
      <c r="C97" s="1" t="s">
        <v>168</v>
      </c>
      <c r="D97" s="1" t="s">
        <v>163</v>
      </c>
      <c r="E97">
        <v>5266</v>
      </c>
      <c r="F97" s="1" t="s">
        <v>81</v>
      </c>
      <c r="G97" s="1" t="s">
        <v>169</v>
      </c>
      <c r="H97">
        <v>2.83</v>
      </c>
      <c r="I97">
        <v>199</v>
      </c>
      <c r="J97">
        <v>8</v>
      </c>
      <c r="K97">
        <v>563.29999999999995</v>
      </c>
    </row>
    <row r="98" spans="1:11" x14ac:dyDescent="0.25">
      <c r="A98">
        <v>2023</v>
      </c>
      <c r="B98" s="1" t="s">
        <v>167</v>
      </c>
      <c r="C98" s="1" t="s">
        <v>168</v>
      </c>
      <c r="D98" s="1" t="s">
        <v>163</v>
      </c>
      <c r="E98">
        <v>5266</v>
      </c>
      <c r="F98" s="1" t="s">
        <v>81</v>
      </c>
      <c r="G98" s="1" t="s">
        <v>169</v>
      </c>
      <c r="H98">
        <v>4.28</v>
      </c>
      <c r="I98">
        <v>252</v>
      </c>
      <c r="J98">
        <v>12</v>
      </c>
      <c r="K98">
        <v>1079.0999999999999</v>
      </c>
    </row>
    <row r="99" spans="1:11" x14ac:dyDescent="0.25">
      <c r="A99">
        <v>2024</v>
      </c>
      <c r="B99" s="1" t="s">
        <v>167</v>
      </c>
      <c r="C99" s="1" t="s">
        <v>168</v>
      </c>
      <c r="D99" s="1" t="s">
        <v>163</v>
      </c>
      <c r="E99">
        <v>5266</v>
      </c>
      <c r="F99" s="1" t="s">
        <v>81</v>
      </c>
      <c r="G99" s="1" t="s">
        <v>169</v>
      </c>
      <c r="H99">
        <v>4.37</v>
      </c>
      <c r="I99">
        <v>245</v>
      </c>
      <c r="J99">
        <v>13</v>
      </c>
      <c r="K99">
        <v>1069.7</v>
      </c>
    </row>
    <row r="100" spans="1:11" x14ac:dyDescent="0.25">
      <c r="A100">
        <v>2025</v>
      </c>
      <c r="B100" s="1" t="s">
        <v>167</v>
      </c>
      <c r="C100" s="1" t="s">
        <v>168</v>
      </c>
      <c r="D100" s="1" t="s">
        <v>163</v>
      </c>
      <c r="E100">
        <v>5266</v>
      </c>
      <c r="F100" s="1" t="s">
        <v>81</v>
      </c>
      <c r="G100" s="1" t="s">
        <v>169</v>
      </c>
      <c r="H100">
        <v>4.68</v>
      </c>
      <c r="I100">
        <v>285</v>
      </c>
      <c r="J100">
        <v>12</v>
      </c>
      <c r="K100">
        <v>1332.2</v>
      </c>
    </row>
    <row r="101" spans="1:11" x14ac:dyDescent="0.25">
      <c r="A101">
        <v>2026</v>
      </c>
      <c r="B101" s="1" t="s">
        <v>167</v>
      </c>
      <c r="C101" s="1" t="s">
        <v>168</v>
      </c>
      <c r="D101" s="1" t="s">
        <v>163</v>
      </c>
      <c r="E101">
        <v>5266</v>
      </c>
      <c r="F101" s="1" t="s">
        <v>81</v>
      </c>
      <c r="G101" s="1" t="s">
        <v>169</v>
      </c>
      <c r="H101">
        <v>4.33</v>
      </c>
      <c r="I101">
        <v>319</v>
      </c>
      <c r="J101">
        <v>13</v>
      </c>
      <c r="K101">
        <v>1379.2</v>
      </c>
    </row>
    <row r="102" spans="1:11" x14ac:dyDescent="0.25">
      <c r="A102">
        <v>2015</v>
      </c>
      <c r="B102" s="1" t="s">
        <v>170</v>
      </c>
      <c r="C102" s="1" t="s">
        <v>171</v>
      </c>
      <c r="D102" s="1" t="s">
        <v>163</v>
      </c>
      <c r="E102">
        <v>2502</v>
      </c>
      <c r="F102" s="1" t="s">
        <v>32</v>
      </c>
      <c r="G102" s="1" t="s">
        <v>172</v>
      </c>
      <c r="H102">
        <v>1.67</v>
      </c>
      <c r="I102">
        <v>123</v>
      </c>
      <c r="J102">
        <v>5</v>
      </c>
      <c r="K102">
        <v>206.2</v>
      </c>
    </row>
    <row r="103" spans="1:11" x14ac:dyDescent="0.25">
      <c r="A103">
        <v>2018</v>
      </c>
      <c r="B103" s="1" t="s">
        <v>170</v>
      </c>
      <c r="C103" s="1" t="s">
        <v>171</v>
      </c>
      <c r="D103" s="1" t="s">
        <v>163</v>
      </c>
      <c r="E103">
        <v>2502</v>
      </c>
      <c r="F103" s="1" t="s">
        <v>32</v>
      </c>
      <c r="G103" s="1" t="s">
        <v>172</v>
      </c>
      <c r="H103">
        <v>2.0299999999999998</v>
      </c>
      <c r="I103">
        <v>152</v>
      </c>
      <c r="J103">
        <v>6</v>
      </c>
      <c r="K103">
        <v>307.60000000000002</v>
      </c>
    </row>
    <row r="104" spans="1:11" x14ac:dyDescent="0.25">
      <c r="A104">
        <v>2019</v>
      </c>
      <c r="B104" s="1" t="s">
        <v>170</v>
      </c>
      <c r="C104" s="1" t="s">
        <v>171</v>
      </c>
      <c r="D104" s="1" t="s">
        <v>163</v>
      </c>
      <c r="E104">
        <v>2502</v>
      </c>
      <c r="F104" s="1" t="s">
        <v>32</v>
      </c>
      <c r="G104" s="1" t="s">
        <v>172</v>
      </c>
      <c r="H104">
        <v>1.92</v>
      </c>
      <c r="I104">
        <v>139</v>
      </c>
      <c r="J104">
        <v>6</v>
      </c>
      <c r="K104">
        <v>265.5</v>
      </c>
    </row>
    <row r="105" spans="1:11" x14ac:dyDescent="0.25">
      <c r="A105">
        <v>2020</v>
      </c>
      <c r="B105" s="1" t="s">
        <v>170</v>
      </c>
      <c r="C105" s="1" t="s">
        <v>171</v>
      </c>
      <c r="D105" s="1" t="s">
        <v>163</v>
      </c>
      <c r="E105">
        <v>2502</v>
      </c>
      <c r="F105" s="1" t="s">
        <v>32</v>
      </c>
      <c r="G105" s="1" t="s">
        <v>172</v>
      </c>
      <c r="H105">
        <v>0.56999999999999995</v>
      </c>
      <c r="I105">
        <v>44</v>
      </c>
      <c r="J105">
        <v>2</v>
      </c>
      <c r="K105">
        <v>25.5</v>
      </c>
    </row>
    <row r="106" spans="1:11" x14ac:dyDescent="0.25">
      <c r="A106">
        <v>2021</v>
      </c>
      <c r="B106" s="1" t="s">
        <v>170</v>
      </c>
      <c r="C106" s="1" t="s">
        <v>171</v>
      </c>
      <c r="D106" s="1" t="s">
        <v>163</v>
      </c>
      <c r="E106">
        <v>2502</v>
      </c>
      <c r="F106" s="1" t="s">
        <v>32</v>
      </c>
      <c r="G106" s="1" t="s">
        <v>172</v>
      </c>
      <c r="H106">
        <v>0.97</v>
      </c>
      <c r="I106">
        <v>71</v>
      </c>
      <c r="J106">
        <v>2</v>
      </c>
      <c r="K106">
        <v>68.099999999999994</v>
      </c>
    </row>
    <row r="107" spans="1:11" x14ac:dyDescent="0.25">
      <c r="A107">
        <v>2022</v>
      </c>
      <c r="B107" s="1" t="s">
        <v>170</v>
      </c>
      <c r="C107" s="1" t="s">
        <v>171</v>
      </c>
      <c r="D107" s="1" t="s">
        <v>163</v>
      </c>
      <c r="E107">
        <v>2502</v>
      </c>
      <c r="F107" s="1" t="s">
        <v>32</v>
      </c>
      <c r="G107" s="1" t="s">
        <v>172</v>
      </c>
      <c r="H107">
        <v>1.55</v>
      </c>
      <c r="I107">
        <v>120</v>
      </c>
      <c r="J107">
        <v>5</v>
      </c>
      <c r="K107">
        <v>185.5</v>
      </c>
    </row>
    <row r="108" spans="1:11" x14ac:dyDescent="0.25">
      <c r="A108">
        <v>2023</v>
      </c>
      <c r="B108" s="1" t="s">
        <v>170</v>
      </c>
      <c r="C108" s="1" t="s">
        <v>171</v>
      </c>
      <c r="D108" s="1" t="s">
        <v>163</v>
      </c>
      <c r="E108">
        <v>2502</v>
      </c>
      <c r="F108" s="1" t="s">
        <v>32</v>
      </c>
      <c r="G108" s="1" t="s">
        <v>172</v>
      </c>
      <c r="H108">
        <v>1.93</v>
      </c>
      <c r="I108">
        <v>136</v>
      </c>
      <c r="J108">
        <v>4</v>
      </c>
      <c r="K108">
        <v>262.5</v>
      </c>
    </row>
    <row r="109" spans="1:11" x14ac:dyDescent="0.25">
      <c r="A109">
        <v>2024</v>
      </c>
      <c r="B109" s="1" t="s">
        <v>170</v>
      </c>
      <c r="C109" s="1" t="s">
        <v>171</v>
      </c>
      <c r="D109" s="1" t="s">
        <v>163</v>
      </c>
      <c r="E109">
        <v>2502</v>
      </c>
      <c r="F109" s="1" t="s">
        <v>32</v>
      </c>
      <c r="G109" s="1" t="s">
        <v>172</v>
      </c>
      <c r="H109">
        <v>2.08</v>
      </c>
      <c r="I109">
        <v>162</v>
      </c>
      <c r="J109">
        <v>6</v>
      </c>
      <c r="K109">
        <v>335.8</v>
      </c>
    </row>
    <row r="110" spans="1:11" x14ac:dyDescent="0.25">
      <c r="A110">
        <v>2025</v>
      </c>
      <c r="B110" s="1" t="s">
        <v>170</v>
      </c>
      <c r="C110" s="1" t="s">
        <v>171</v>
      </c>
      <c r="D110" s="1" t="s">
        <v>163</v>
      </c>
      <c r="E110">
        <v>2502</v>
      </c>
      <c r="F110" s="1" t="s">
        <v>32</v>
      </c>
      <c r="G110" s="1" t="s">
        <v>172</v>
      </c>
      <c r="H110">
        <v>2.04</v>
      </c>
      <c r="I110">
        <v>157</v>
      </c>
      <c r="J110">
        <v>7</v>
      </c>
      <c r="K110">
        <v>321.89999999999998</v>
      </c>
    </row>
    <row r="111" spans="1:11" x14ac:dyDescent="0.25">
      <c r="A111">
        <v>2026</v>
      </c>
      <c r="B111" s="1" t="s">
        <v>170</v>
      </c>
      <c r="C111" s="1" t="s">
        <v>171</v>
      </c>
      <c r="D111" s="1" t="s">
        <v>163</v>
      </c>
      <c r="E111">
        <v>2502</v>
      </c>
      <c r="F111" s="1" t="s">
        <v>32</v>
      </c>
      <c r="G111" s="1" t="s">
        <v>172</v>
      </c>
      <c r="H111">
        <v>2.27</v>
      </c>
      <c r="I111">
        <v>154</v>
      </c>
      <c r="J111">
        <v>9</v>
      </c>
      <c r="K111">
        <v>350.5</v>
      </c>
    </row>
    <row r="112" spans="1:11" x14ac:dyDescent="0.25">
      <c r="A112">
        <v>2015</v>
      </c>
      <c r="B112" s="1" t="s">
        <v>173</v>
      </c>
      <c r="C112" s="1" t="s">
        <v>163</v>
      </c>
      <c r="D112" s="1" t="s">
        <v>174</v>
      </c>
      <c r="E112">
        <v>5571</v>
      </c>
      <c r="F112" s="1" t="s">
        <v>175</v>
      </c>
      <c r="G112" s="1" t="s">
        <v>176</v>
      </c>
      <c r="H112">
        <v>1.2</v>
      </c>
      <c r="I112">
        <v>238</v>
      </c>
      <c r="J112">
        <v>3</v>
      </c>
      <c r="K112">
        <v>284.89999999999998</v>
      </c>
    </row>
    <row r="113" spans="1:11" x14ac:dyDescent="0.25">
      <c r="A113">
        <v>2018</v>
      </c>
      <c r="B113" s="1" t="s">
        <v>173</v>
      </c>
      <c r="C113" s="1" t="s">
        <v>163</v>
      </c>
      <c r="D113" s="1" t="s">
        <v>174</v>
      </c>
      <c r="E113">
        <v>5571</v>
      </c>
      <c r="F113" s="1" t="s">
        <v>175</v>
      </c>
      <c r="G113" s="1" t="s">
        <v>176</v>
      </c>
      <c r="H113">
        <v>1.28</v>
      </c>
      <c r="I113">
        <v>294</v>
      </c>
      <c r="J113">
        <v>4</v>
      </c>
      <c r="K113">
        <v>377.4</v>
      </c>
    </row>
    <row r="114" spans="1:11" x14ac:dyDescent="0.25">
      <c r="A114">
        <v>2019</v>
      </c>
      <c r="B114" s="1" t="s">
        <v>173</v>
      </c>
      <c r="C114" s="1" t="s">
        <v>163</v>
      </c>
      <c r="D114" s="1" t="s">
        <v>174</v>
      </c>
      <c r="E114">
        <v>5571</v>
      </c>
      <c r="F114" s="1" t="s">
        <v>175</v>
      </c>
      <c r="G114" s="1" t="s">
        <v>176</v>
      </c>
      <c r="H114">
        <v>1.44</v>
      </c>
      <c r="I114">
        <v>282</v>
      </c>
      <c r="J114">
        <v>3</v>
      </c>
      <c r="K114">
        <v>405.5</v>
      </c>
    </row>
    <row r="115" spans="1:11" x14ac:dyDescent="0.25">
      <c r="A115">
        <v>2020</v>
      </c>
      <c r="B115" s="1" t="s">
        <v>173</v>
      </c>
      <c r="C115" s="1" t="s">
        <v>163</v>
      </c>
      <c r="D115" s="1" t="s">
        <v>174</v>
      </c>
      <c r="E115">
        <v>5571</v>
      </c>
      <c r="F115" s="1" t="s">
        <v>175</v>
      </c>
      <c r="G115" s="1" t="s">
        <v>176</v>
      </c>
      <c r="H115">
        <v>0.44</v>
      </c>
      <c r="I115">
        <v>78</v>
      </c>
      <c r="J115">
        <v>1</v>
      </c>
      <c r="K115">
        <v>34.1</v>
      </c>
    </row>
    <row r="116" spans="1:11" x14ac:dyDescent="0.25">
      <c r="A116">
        <v>2021</v>
      </c>
      <c r="B116" s="1" t="s">
        <v>173</v>
      </c>
      <c r="C116" s="1" t="s">
        <v>163</v>
      </c>
      <c r="D116" s="1" t="s">
        <v>174</v>
      </c>
      <c r="E116">
        <v>5571</v>
      </c>
      <c r="F116" s="1" t="s">
        <v>175</v>
      </c>
      <c r="G116" s="1" t="s">
        <v>176</v>
      </c>
      <c r="H116">
        <v>0.65</v>
      </c>
      <c r="I116">
        <v>121</v>
      </c>
      <c r="J116">
        <v>2</v>
      </c>
      <c r="K116">
        <v>78.5</v>
      </c>
    </row>
    <row r="117" spans="1:11" x14ac:dyDescent="0.25">
      <c r="A117">
        <v>2022</v>
      </c>
      <c r="B117" s="1" t="s">
        <v>173</v>
      </c>
      <c r="C117" s="1" t="s">
        <v>163</v>
      </c>
      <c r="D117" s="1" t="s">
        <v>174</v>
      </c>
      <c r="E117">
        <v>5571</v>
      </c>
      <c r="F117" s="1" t="s">
        <v>175</v>
      </c>
      <c r="G117" s="1" t="s">
        <v>176</v>
      </c>
      <c r="H117">
        <v>1.01</v>
      </c>
      <c r="I117">
        <v>182</v>
      </c>
      <c r="J117">
        <v>3</v>
      </c>
      <c r="K117">
        <v>183.2</v>
      </c>
    </row>
    <row r="118" spans="1:11" x14ac:dyDescent="0.25">
      <c r="A118">
        <v>2023</v>
      </c>
      <c r="B118" s="1" t="s">
        <v>173</v>
      </c>
      <c r="C118" s="1" t="s">
        <v>163</v>
      </c>
      <c r="D118" s="1" t="s">
        <v>174</v>
      </c>
      <c r="E118">
        <v>5571</v>
      </c>
      <c r="F118" s="1" t="s">
        <v>175</v>
      </c>
      <c r="G118" s="1" t="s">
        <v>176</v>
      </c>
      <c r="H118">
        <v>1.44</v>
      </c>
      <c r="I118">
        <v>282</v>
      </c>
      <c r="J118">
        <v>4</v>
      </c>
      <c r="K118">
        <v>404.7</v>
      </c>
    </row>
    <row r="119" spans="1:11" x14ac:dyDescent="0.25">
      <c r="A119">
        <v>2024</v>
      </c>
      <c r="B119" s="1" t="s">
        <v>173</v>
      </c>
      <c r="C119" s="1" t="s">
        <v>163</v>
      </c>
      <c r="D119" s="1" t="s">
        <v>174</v>
      </c>
      <c r="E119">
        <v>5571</v>
      </c>
      <c r="F119" s="1" t="s">
        <v>175</v>
      </c>
      <c r="G119" s="1" t="s">
        <v>176</v>
      </c>
      <c r="H119">
        <v>1.46</v>
      </c>
      <c r="I119">
        <v>302</v>
      </c>
      <c r="J119">
        <v>5</v>
      </c>
      <c r="K119">
        <v>440.9</v>
      </c>
    </row>
    <row r="120" spans="1:11" x14ac:dyDescent="0.25">
      <c r="A120">
        <v>2025</v>
      </c>
      <c r="B120" s="1" t="s">
        <v>173</v>
      </c>
      <c r="C120" s="1" t="s">
        <v>163</v>
      </c>
      <c r="D120" s="1" t="s">
        <v>174</v>
      </c>
      <c r="E120">
        <v>5571</v>
      </c>
      <c r="F120" s="1" t="s">
        <v>175</v>
      </c>
      <c r="G120" s="1" t="s">
        <v>176</v>
      </c>
      <c r="H120">
        <v>1.51</v>
      </c>
      <c r="I120">
        <v>301</v>
      </c>
      <c r="J120">
        <v>4</v>
      </c>
      <c r="K120">
        <v>453.3</v>
      </c>
    </row>
    <row r="121" spans="1:11" x14ac:dyDescent="0.25">
      <c r="A121">
        <v>2026</v>
      </c>
      <c r="B121" s="1" t="s">
        <v>173</v>
      </c>
      <c r="C121" s="1" t="s">
        <v>163</v>
      </c>
      <c r="D121" s="1" t="s">
        <v>174</v>
      </c>
      <c r="E121">
        <v>5571</v>
      </c>
      <c r="F121" s="1" t="s">
        <v>175</v>
      </c>
      <c r="G121" s="1" t="s">
        <v>176</v>
      </c>
      <c r="H121">
        <v>1.59</v>
      </c>
      <c r="I121">
        <v>303</v>
      </c>
      <c r="J121">
        <v>4</v>
      </c>
      <c r="K121">
        <v>482.3</v>
      </c>
    </row>
    <row r="122" spans="1:11" x14ac:dyDescent="0.25">
      <c r="A122">
        <v>2015</v>
      </c>
      <c r="B122" s="1" t="s">
        <v>177</v>
      </c>
      <c r="C122" s="1" t="s">
        <v>163</v>
      </c>
      <c r="D122" s="1" t="s">
        <v>178</v>
      </c>
      <c r="E122">
        <v>344</v>
      </c>
      <c r="F122" s="1" t="s">
        <v>32</v>
      </c>
      <c r="G122" s="1" t="s">
        <v>179</v>
      </c>
      <c r="H122">
        <v>7.65</v>
      </c>
      <c r="I122">
        <v>56</v>
      </c>
      <c r="J122">
        <v>24</v>
      </c>
      <c r="K122">
        <v>426.8</v>
      </c>
    </row>
    <row r="123" spans="1:11" x14ac:dyDescent="0.25">
      <c r="A123">
        <v>2018</v>
      </c>
      <c r="B123" s="1" t="s">
        <v>177</v>
      </c>
      <c r="C123" s="1" t="s">
        <v>163</v>
      </c>
      <c r="D123" s="1" t="s">
        <v>178</v>
      </c>
      <c r="E123">
        <v>344</v>
      </c>
      <c r="F123" s="1" t="s">
        <v>32</v>
      </c>
      <c r="G123" s="1" t="s">
        <v>179</v>
      </c>
      <c r="H123">
        <v>8.02</v>
      </c>
      <c r="I123">
        <v>67</v>
      </c>
      <c r="J123">
        <v>24</v>
      </c>
      <c r="K123">
        <v>535.70000000000005</v>
      </c>
    </row>
    <row r="124" spans="1:11" x14ac:dyDescent="0.25">
      <c r="A124">
        <v>2019</v>
      </c>
      <c r="B124" s="1" t="s">
        <v>177</v>
      </c>
      <c r="C124" s="1" t="s">
        <v>163</v>
      </c>
      <c r="D124" s="1" t="s">
        <v>178</v>
      </c>
      <c r="E124">
        <v>344</v>
      </c>
      <c r="F124" s="1" t="s">
        <v>32</v>
      </c>
      <c r="G124" s="1" t="s">
        <v>179</v>
      </c>
      <c r="H124">
        <v>9.7799999999999994</v>
      </c>
      <c r="I124">
        <v>59</v>
      </c>
      <c r="J124">
        <v>28</v>
      </c>
      <c r="K124">
        <v>580.29999999999995</v>
      </c>
    </row>
    <row r="125" spans="1:11" x14ac:dyDescent="0.25">
      <c r="A125">
        <v>2020</v>
      </c>
      <c r="B125" s="1" t="s">
        <v>177</v>
      </c>
      <c r="C125" s="1" t="s">
        <v>163</v>
      </c>
      <c r="D125" s="1" t="s">
        <v>178</v>
      </c>
      <c r="E125">
        <v>344</v>
      </c>
      <c r="F125" s="1" t="s">
        <v>32</v>
      </c>
      <c r="G125" s="1" t="s">
        <v>179</v>
      </c>
      <c r="H125">
        <v>2.62</v>
      </c>
      <c r="I125">
        <v>20</v>
      </c>
      <c r="J125">
        <v>9</v>
      </c>
      <c r="K125">
        <v>51.3</v>
      </c>
    </row>
    <row r="126" spans="1:11" x14ac:dyDescent="0.25">
      <c r="A126">
        <v>2021</v>
      </c>
      <c r="B126" s="1" t="s">
        <v>177</v>
      </c>
      <c r="C126" s="1" t="s">
        <v>163</v>
      </c>
      <c r="D126" s="1" t="s">
        <v>178</v>
      </c>
      <c r="E126">
        <v>344</v>
      </c>
      <c r="F126" s="1" t="s">
        <v>32</v>
      </c>
      <c r="G126" s="1" t="s">
        <v>179</v>
      </c>
      <c r="H126">
        <v>4.18</v>
      </c>
      <c r="I126">
        <v>34</v>
      </c>
      <c r="J126">
        <v>13</v>
      </c>
      <c r="K126">
        <v>140.5</v>
      </c>
    </row>
    <row r="127" spans="1:11" x14ac:dyDescent="0.25">
      <c r="A127">
        <v>2022</v>
      </c>
      <c r="B127" s="1" t="s">
        <v>177</v>
      </c>
      <c r="C127" s="1" t="s">
        <v>163</v>
      </c>
      <c r="D127" s="1" t="s">
        <v>178</v>
      </c>
      <c r="E127">
        <v>344</v>
      </c>
      <c r="F127" s="1" t="s">
        <v>32</v>
      </c>
      <c r="G127" s="1" t="s">
        <v>179</v>
      </c>
      <c r="H127">
        <v>6.62</v>
      </c>
      <c r="I127">
        <v>45</v>
      </c>
      <c r="J127">
        <v>21</v>
      </c>
      <c r="K127">
        <v>298.7</v>
      </c>
    </row>
    <row r="128" spans="1:11" x14ac:dyDescent="0.25">
      <c r="A128">
        <v>2023</v>
      </c>
      <c r="B128" s="1" t="s">
        <v>177</v>
      </c>
      <c r="C128" s="1" t="s">
        <v>163</v>
      </c>
      <c r="D128" s="1" t="s">
        <v>178</v>
      </c>
      <c r="E128">
        <v>344</v>
      </c>
      <c r="F128" s="1" t="s">
        <v>32</v>
      </c>
      <c r="G128" s="1" t="s">
        <v>179</v>
      </c>
      <c r="H128">
        <v>8.56</v>
      </c>
      <c r="I128">
        <v>63</v>
      </c>
      <c r="J128">
        <v>25</v>
      </c>
      <c r="K128">
        <v>537.4</v>
      </c>
    </row>
    <row r="129" spans="1:11" x14ac:dyDescent="0.25">
      <c r="A129">
        <v>2024</v>
      </c>
      <c r="B129" s="1" t="s">
        <v>177</v>
      </c>
      <c r="C129" s="1" t="s">
        <v>163</v>
      </c>
      <c r="D129" s="1" t="s">
        <v>178</v>
      </c>
      <c r="E129">
        <v>344</v>
      </c>
      <c r="F129" s="1" t="s">
        <v>32</v>
      </c>
      <c r="G129" s="1" t="s">
        <v>179</v>
      </c>
      <c r="H129">
        <v>9.09</v>
      </c>
      <c r="I129">
        <v>67</v>
      </c>
      <c r="J129">
        <v>27</v>
      </c>
      <c r="K129">
        <v>605.5</v>
      </c>
    </row>
    <row r="130" spans="1:11" x14ac:dyDescent="0.25">
      <c r="A130">
        <v>2025</v>
      </c>
      <c r="B130" s="1" t="s">
        <v>177</v>
      </c>
      <c r="C130" s="1" t="s">
        <v>163</v>
      </c>
      <c r="D130" s="1" t="s">
        <v>178</v>
      </c>
      <c r="E130">
        <v>344</v>
      </c>
      <c r="F130" s="1" t="s">
        <v>32</v>
      </c>
      <c r="G130" s="1" t="s">
        <v>179</v>
      </c>
      <c r="H130">
        <v>9.4499999999999993</v>
      </c>
      <c r="I130">
        <v>67</v>
      </c>
      <c r="J130">
        <v>27</v>
      </c>
      <c r="K130">
        <v>629.70000000000005</v>
      </c>
    </row>
    <row r="131" spans="1:11" x14ac:dyDescent="0.25">
      <c r="A131">
        <v>2026</v>
      </c>
      <c r="B131" s="1" t="s">
        <v>177</v>
      </c>
      <c r="C131" s="1" t="s">
        <v>163</v>
      </c>
      <c r="D131" s="1" t="s">
        <v>178</v>
      </c>
      <c r="E131">
        <v>344</v>
      </c>
      <c r="F131" s="1" t="s">
        <v>32</v>
      </c>
      <c r="G131" s="1" t="s">
        <v>179</v>
      </c>
      <c r="H131">
        <v>9.32</v>
      </c>
      <c r="I131">
        <v>72</v>
      </c>
      <c r="J131">
        <v>27</v>
      </c>
      <c r="K131">
        <v>674.6</v>
      </c>
    </row>
    <row r="132" spans="1:11" x14ac:dyDescent="0.25">
      <c r="A132">
        <v>2015</v>
      </c>
      <c r="B132" s="1" t="s">
        <v>180</v>
      </c>
      <c r="C132" s="1" t="s">
        <v>38</v>
      </c>
      <c r="D132" s="1" t="s">
        <v>174</v>
      </c>
      <c r="E132">
        <v>6201</v>
      </c>
      <c r="F132" s="1" t="s">
        <v>175</v>
      </c>
      <c r="G132" s="1" t="s">
        <v>181</v>
      </c>
      <c r="H132">
        <v>2.2200000000000002</v>
      </c>
      <c r="I132">
        <v>244</v>
      </c>
      <c r="J132">
        <v>8</v>
      </c>
      <c r="K132">
        <v>541.4</v>
      </c>
    </row>
    <row r="133" spans="1:11" x14ac:dyDescent="0.25">
      <c r="A133">
        <v>2018</v>
      </c>
      <c r="B133" s="1" t="s">
        <v>180</v>
      </c>
      <c r="C133" s="1" t="s">
        <v>38</v>
      </c>
      <c r="D133" s="1" t="s">
        <v>174</v>
      </c>
      <c r="E133">
        <v>6201</v>
      </c>
      <c r="F133" s="1" t="s">
        <v>175</v>
      </c>
      <c r="G133" s="1" t="s">
        <v>181</v>
      </c>
      <c r="H133">
        <v>2.4</v>
      </c>
      <c r="I133">
        <v>276</v>
      </c>
      <c r="J133">
        <v>7</v>
      </c>
      <c r="K133">
        <v>663.4</v>
      </c>
    </row>
    <row r="134" spans="1:11" x14ac:dyDescent="0.25">
      <c r="A134">
        <v>2019</v>
      </c>
      <c r="B134" s="1" t="s">
        <v>180</v>
      </c>
      <c r="C134" s="1" t="s">
        <v>38</v>
      </c>
      <c r="D134" s="1" t="s">
        <v>174</v>
      </c>
      <c r="E134">
        <v>6201</v>
      </c>
      <c r="F134" s="1" t="s">
        <v>175</v>
      </c>
      <c r="G134" s="1" t="s">
        <v>181</v>
      </c>
      <c r="H134">
        <v>2.38</v>
      </c>
      <c r="I134">
        <v>284</v>
      </c>
      <c r="J134">
        <v>8</v>
      </c>
      <c r="K134">
        <v>675.8</v>
      </c>
    </row>
    <row r="135" spans="1:11" x14ac:dyDescent="0.25">
      <c r="A135">
        <v>2020</v>
      </c>
      <c r="B135" s="1" t="s">
        <v>180</v>
      </c>
      <c r="C135" s="1" t="s">
        <v>38</v>
      </c>
      <c r="D135" s="1" t="s">
        <v>174</v>
      </c>
      <c r="E135">
        <v>6201</v>
      </c>
      <c r="F135" s="1" t="s">
        <v>175</v>
      </c>
      <c r="G135" s="1" t="s">
        <v>181</v>
      </c>
      <c r="H135">
        <v>0.72</v>
      </c>
      <c r="I135">
        <v>96</v>
      </c>
      <c r="J135">
        <v>3</v>
      </c>
      <c r="K135">
        <v>68.5</v>
      </c>
    </row>
    <row r="136" spans="1:11" x14ac:dyDescent="0.25">
      <c r="A136">
        <v>2021</v>
      </c>
      <c r="B136" s="1" t="s">
        <v>180</v>
      </c>
      <c r="C136" s="1" t="s">
        <v>38</v>
      </c>
      <c r="D136" s="1" t="s">
        <v>174</v>
      </c>
      <c r="E136">
        <v>6201</v>
      </c>
      <c r="F136" s="1" t="s">
        <v>175</v>
      </c>
      <c r="G136" s="1" t="s">
        <v>181</v>
      </c>
      <c r="H136">
        <v>1.26</v>
      </c>
      <c r="I136">
        <v>152</v>
      </c>
      <c r="J136">
        <v>4</v>
      </c>
      <c r="K136">
        <v>191.2</v>
      </c>
    </row>
    <row r="137" spans="1:11" x14ac:dyDescent="0.25">
      <c r="A137">
        <v>2022</v>
      </c>
      <c r="B137" s="1" t="s">
        <v>180</v>
      </c>
      <c r="C137" s="1" t="s">
        <v>38</v>
      </c>
      <c r="D137" s="1" t="s">
        <v>174</v>
      </c>
      <c r="E137">
        <v>6201</v>
      </c>
      <c r="F137" s="1" t="s">
        <v>175</v>
      </c>
      <c r="G137" s="1" t="s">
        <v>181</v>
      </c>
      <c r="H137">
        <v>1.88</v>
      </c>
      <c r="I137">
        <v>235</v>
      </c>
      <c r="J137">
        <v>4</v>
      </c>
      <c r="K137">
        <v>443.5</v>
      </c>
    </row>
    <row r="138" spans="1:11" x14ac:dyDescent="0.25">
      <c r="A138">
        <v>2023</v>
      </c>
      <c r="B138" s="1" t="s">
        <v>180</v>
      </c>
      <c r="C138" s="1" t="s">
        <v>38</v>
      </c>
      <c r="D138" s="1" t="s">
        <v>174</v>
      </c>
      <c r="E138">
        <v>6201</v>
      </c>
      <c r="F138" s="1" t="s">
        <v>175</v>
      </c>
      <c r="G138" s="1" t="s">
        <v>181</v>
      </c>
      <c r="H138">
        <v>2.38</v>
      </c>
      <c r="I138">
        <v>270</v>
      </c>
      <c r="J138">
        <v>7</v>
      </c>
      <c r="K138">
        <v>643.6</v>
      </c>
    </row>
    <row r="139" spans="1:11" x14ac:dyDescent="0.25">
      <c r="A139">
        <v>2024</v>
      </c>
      <c r="B139" s="1" t="s">
        <v>180</v>
      </c>
      <c r="C139" s="1" t="s">
        <v>38</v>
      </c>
      <c r="D139" s="1" t="s">
        <v>174</v>
      </c>
      <c r="E139">
        <v>6201</v>
      </c>
      <c r="F139" s="1" t="s">
        <v>175</v>
      </c>
      <c r="G139" s="1" t="s">
        <v>181</v>
      </c>
      <c r="H139">
        <v>2.81</v>
      </c>
      <c r="I139">
        <v>310</v>
      </c>
      <c r="J139">
        <v>7</v>
      </c>
      <c r="K139">
        <v>871</v>
      </c>
    </row>
    <row r="140" spans="1:11" x14ac:dyDescent="0.25">
      <c r="A140">
        <v>2025</v>
      </c>
      <c r="B140" s="1" t="s">
        <v>180</v>
      </c>
      <c r="C140" s="1" t="s">
        <v>38</v>
      </c>
      <c r="D140" s="1" t="s">
        <v>174</v>
      </c>
      <c r="E140">
        <v>6201</v>
      </c>
      <c r="F140" s="1" t="s">
        <v>175</v>
      </c>
      <c r="G140" s="1" t="s">
        <v>181</v>
      </c>
      <c r="H140">
        <v>2.7</v>
      </c>
      <c r="I140">
        <v>336</v>
      </c>
      <c r="J140">
        <v>9</v>
      </c>
      <c r="K140">
        <v>904.8</v>
      </c>
    </row>
    <row r="141" spans="1:11" x14ac:dyDescent="0.25">
      <c r="A141">
        <v>2026</v>
      </c>
      <c r="B141" s="1" t="s">
        <v>180</v>
      </c>
      <c r="C141" s="1" t="s">
        <v>38</v>
      </c>
      <c r="D141" s="1" t="s">
        <v>174</v>
      </c>
      <c r="E141">
        <v>6201</v>
      </c>
      <c r="F141" s="1" t="s">
        <v>175</v>
      </c>
      <c r="G141" s="1" t="s">
        <v>181</v>
      </c>
      <c r="H141">
        <v>2.91</v>
      </c>
      <c r="I141">
        <v>326</v>
      </c>
      <c r="J141">
        <v>9</v>
      </c>
      <c r="K141">
        <v>949.5</v>
      </c>
    </row>
    <row r="142" spans="1:11" x14ac:dyDescent="0.25">
      <c r="A142">
        <v>2015</v>
      </c>
      <c r="B142" s="1" t="s">
        <v>182</v>
      </c>
      <c r="C142" s="1" t="s">
        <v>183</v>
      </c>
      <c r="D142" s="1" t="s">
        <v>184</v>
      </c>
      <c r="E142">
        <v>10056</v>
      </c>
      <c r="F142" s="1" t="s">
        <v>175</v>
      </c>
      <c r="G142" s="1" t="s">
        <v>185</v>
      </c>
      <c r="H142">
        <v>1.25</v>
      </c>
      <c r="I142">
        <v>363</v>
      </c>
      <c r="J142">
        <v>5</v>
      </c>
      <c r="K142">
        <v>454.6</v>
      </c>
    </row>
    <row r="143" spans="1:11" x14ac:dyDescent="0.25">
      <c r="A143">
        <v>2018</v>
      </c>
      <c r="B143" s="1" t="s">
        <v>182</v>
      </c>
      <c r="C143" s="1" t="s">
        <v>183</v>
      </c>
      <c r="D143" s="1" t="s">
        <v>184</v>
      </c>
      <c r="E143">
        <v>10056</v>
      </c>
      <c r="F143" s="1" t="s">
        <v>175</v>
      </c>
      <c r="G143" s="1" t="s">
        <v>185</v>
      </c>
      <c r="H143">
        <v>1.28</v>
      </c>
      <c r="I143">
        <v>451</v>
      </c>
      <c r="J143">
        <v>3</v>
      </c>
      <c r="K143">
        <v>578.70000000000005</v>
      </c>
    </row>
    <row r="144" spans="1:11" x14ac:dyDescent="0.25">
      <c r="A144">
        <v>2019</v>
      </c>
      <c r="B144" s="1" t="s">
        <v>182</v>
      </c>
      <c r="C144" s="1" t="s">
        <v>183</v>
      </c>
      <c r="D144" s="1" t="s">
        <v>184</v>
      </c>
      <c r="E144">
        <v>10056</v>
      </c>
      <c r="F144" s="1" t="s">
        <v>175</v>
      </c>
      <c r="G144" s="1" t="s">
        <v>185</v>
      </c>
      <c r="H144">
        <v>1.47</v>
      </c>
      <c r="I144">
        <v>501</v>
      </c>
      <c r="J144">
        <v>3</v>
      </c>
      <c r="K144">
        <v>736.8</v>
      </c>
    </row>
    <row r="145" spans="1:11" x14ac:dyDescent="0.25">
      <c r="A145">
        <v>2020</v>
      </c>
      <c r="B145" s="1" t="s">
        <v>182</v>
      </c>
      <c r="C145" s="1" t="s">
        <v>183</v>
      </c>
      <c r="D145" s="1" t="s">
        <v>184</v>
      </c>
      <c r="E145">
        <v>10056</v>
      </c>
      <c r="F145" s="1" t="s">
        <v>175</v>
      </c>
      <c r="G145" s="1" t="s">
        <v>185</v>
      </c>
      <c r="H145">
        <v>0.44</v>
      </c>
      <c r="I145">
        <v>135</v>
      </c>
      <c r="J145">
        <v>1</v>
      </c>
      <c r="K145">
        <v>58.8</v>
      </c>
    </row>
    <row r="146" spans="1:11" x14ac:dyDescent="0.25">
      <c r="A146">
        <v>2021</v>
      </c>
      <c r="B146" s="1" t="s">
        <v>182</v>
      </c>
      <c r="C146" s="1" t="s">
        <v>183</v>
      </c>
      <c r="D146" s="1" t="s">
        <v>184</v>
      </c>
      <c r="E146">
        <v>10056</v>
      </c>
      <c r="F146" s="1" t="s">
        <v>175</v>
      </c>
      <c r="G146" s="1" t="s">
        <v>185</v>
      </c>
      <c r="H146">
        <v>0.73</v>
      </c>
      <c r="I146">
        <v>206</v>
      </c>
      <c r="J146">
        <v>1</v>
      </c>
      <c r="K146">
        <v>151.19999999999999</v>
      </c>
    </row>
    <row r="147" spans="1:11" x14ac:dyDescent="0.25">
      <c r="A147">
        <v>2022</v>
      </c>
      <c r="B147" s="1" t="s">
        <v>182</v>
      </c>
      <c r="C147" s="1" t="s">
        <v>183</v>
      </c>
      <c r="D147" s="1" t="s">
        <v>184</v>
      </c>
      <c r="E147">
        <v>10056</v>
      </c>
      <c r="F147" s="1" t="s">
        <v>175</v>
      </c>
      <c r="G147" s="1" t="s">
        <v>185</v>
      </c>
      <c r="H147">
        <v>1.18</v>
      </c>
      <c r="I147">
        <v>341</v>
      </c>
      <c r="J147">
        <v>3</v>
      </c>
      <c r="K147">
        <v>402.4</v>
      </c>
    </row>
    <row r="148" spans="1:11" x14ac:dyDescent="0.25">
      <c r="A148">
        <v>2023</v>
      </c>
      <c r="B148" s="1" t="s">
        <v>182</v>
      </c>
      <c r="C148" s="1" t="s">
        <v>183</v>
      </c>
      <c r="D148" s="1" t="s">
        <v>184</v>
      </c>
      <c r="E148">
        <v>10056</v>
      </c>
      <c r="F148" s="1" t="s">
        <v>175</v>
      </c>
      <c r="G148" s="1" t="s">
        <v>185</v>
      </c>
      <c r="H148">
        <v>1.41</v>
      </c>
      <c r="I148">
        <v>413</v>
      </c>
      <c r="J148">
        <v>5</v>
      </c>
      <c r="K148">
        <v>580.9</v>
      </c>
    </row>
    <row r="149" spans="1:11" x14ac:dyDescent="0.25">
      <c r="A149">
        <v>2024</v>
      </c>
      <c r="B149" s="1" t="s">
        <v>182</v>
      </c>
      <c r="C149" s="1" t="s">
        <v>183</v>
      </c>
      <c r="D149" s="1" t="s">
        <v>184</v>
      </c>
      <c r="E149">
        <v>10056</v>
      </c>
      <c r="F149" s="1" t="s">
        <v>175</v>
      </c>
      <c r="G149" s="1" t="s">
        <v>185</v>
      </c>
      <c r="H149">
        <v>1.56</v>
      </c>
      <c r="I149">
        <v>462</v>
      </c>
      <c r="J149">
        <v>5</v>
      </c>
      <c r="K149">
        <v>721</v>
      </c>
    </row>
    <row r="150" spans="1:11" x14ac:dyDescent="0.25">
      <c r="A150">
        <v>2025</v>
      </c>
      <c r="B150" s="1" t="s">
        <v>182</v>
      </c>
      <c r="C150" s="1" t="s">
        <v>183</v>
      </c>
      <c r="D150" s="1" t="s">
        <v>184</v>
      </c>
      <c r="E150">
        <v>10056</v>
      </c>
      <c r="F150" s="1" t="s">
        <v>175</v>
      </c>
      <c r="G150" s="1" t="s">
        <v>185</v>
      </c>
      <c r="H150">
        <v>1.6</v>
      </c>
      <c r="I150">
        <v>480</v>
      </c>
      <c r="J150">
        <v>4</v>
      </c>
      <c r="K150">
        <v>767.5</v>
      </c>
    </row>
    <row r="151" spans="1:11" x14ac:dyDescent="0.25">
      <c r="A151">
        <v>2026</v>
      </c>
      <c r="B151" s="1" t="s">
        <v>182</v>
      </c>
      <c r="C151" s="1" t="s">
        <v>183</v>
      </c>
      <c r="D151" s="1" t="s">
        <v>184</v>
      </c>
      <c r="E151">
        <v>10056</v>
      </c>
      <c r="F151" s="1" t="s">
        <v>175</v>
      </c>
      <c r="G151" s="1" t="s">
        <v>185</v>
      </c>
      <c r="H151">
        <v>1.68</v>
      </c>
      <c r="I151">
        <v>514</v>
      </c>
      <c r="J151">
        <v>7</v>
      </c>
      <c r="K151">
        <v>862.1</v>
      </c>
    </row>
    <row r="152" spans="1:11" x14ac:dyDescent="0.25">
      <c r="A152">
        <v>2015</v>
      </c>
      <c r="B152" s="1" t="s">
        <v>186</v>
      </c>
      <c r="C152" s="1" t="s">
        <v>178</v>
      </c>
      <c r="D152" s="1" t="s">
        <v>162</v>
      </c>
      <c r="E152">
        <v>5252</v>
      </c>
      <c r="F152" s="1" t="s">
        <v>187</v>
      </c>
      <c r="G152" s="1" t="s">
        <v>188</v>
      </c>
      <c r="H152">
        <v>0.89</v>
      </c>
      <c r="I152">
        <v>225</v>
      </c>
      <c r="J152">
        <v>2</v>
      </c>
      <c r="K152">
        <v>201.6</v>
      </c>
    </row>
    <row r="153" spans="1:11" x14ac:dyDescent="0.25">
      <c r="A153">
        <v>2018</v>
      </c>
      <c r="B153" s="1" t="s">
        <v>186</v>
      </c>
      <c r="C153" s="1" t="s">
        <v>178</v>
      </c>
      <c r="D153" s="1" t="s">
        <v>162</v>
      </c>
      <c r="E153">
        <v>5252</v>
      </c>
      <c r="F153" s="1" t="s">
        <v>187</v>
      </c>
      <c r="G153" s="1" t="s">
        <v>188</v>
      </c>
      <c r="H153">
        <v>1.1000000000000001</v>
      </c>
      <c r="I153">
        <v>251</v>
      </c>
      <c r="J153">
        <v>3</v>
      </c>
      <c r="K153">
        <v>276.10000000000002</v>
      </c>
    </row>
    <row r="154" spans="1:11" x14ac:dyDescent="0.25">
      <c r="A154">
        <v>2019</v>
      </c>
      <c r="B154" s="1" t="s">
        <v>186</v>
      </c>
      <c r="C154" s="1" t="s">
        <v>178</v>
      </c>
      <c r="D154" s="1" t="s">
        <v>162</v>
      </c>
      <c r="E154">
        <v>5252</v>
      </c>
      <c r="F154" s="1" t="s">
        <v>187</v>
      </c>
      <c r="G154" s="1" t="s">
        <v>188</v>
      </c>
      <c r="H154">
        <v>1.1499999999999999</v>
      </c>
      <c r="I154">
        <v>270</v>
      </c>
      <c r="J154">
        <v>2</v>
      </c>
      <c r="K154">
        <v>311.5</v>
      </c>
    </row>
    <row r="155" spans="1:11" x14ac:dyDescent="0.25">
      <c r="A155">
        <v>2020</v>
      </c>
      <c r="B155" s="1" t="s">
        <v>186</v>
      </c>
      <c r="C155" s="1" t="s">
        <v>178</v>
      </c>
      <c r="D155" s="1" t="s">
        <v>162</v>
      </c>
      <c r="E155">
        <v>5252</v>
      </c>
      <c r="F155" s="1" t="s">
        <v>187</v>
      </c>
      <c r="G155" s="1" t="s">
        <v>188</v>
      </c>
      <c r="H155">
        <v>0.33</v>
      </c>
      <c r="I155">
        <v>94</v>
      </c>
      <c r="J155">
        <v>1</v>
      </c>
      <c r="K155">
        <v>31.3</v>
      </c>
    </row>
    <row r="156" spans="1:11" x14ac:dyDescent="0.25">
      <c r="A156">
        <v>2021</v>
      </c>
      <c r="B156" s="1" t="s">
        <v>186</v>
      </c>
      <c r="C156" s="1" t="s">
        <v>178</v>
      </c>
      <c r="D156" s="1" t="s">
        <v>162</v>
      </c>
      <c r="E156">
        <v>5252</v>
      </c>
      <c r="F156" s="1" t="s">
        <v>187</v>
      </c>
      <c r="G156" s="1" t="s">
        <v>188</v>
      </c>
      <c r="H156">
        <v>0.57999999999999996</v>
      </c>
      <c r="I156">
        <v>119</v>
      </c>
      <c r="J156">
        <v>1</v>
      </c>
      <c r="K156">
        <v>69</v>
      </c>
    </row>
    <row r="157" spans="1:11" x14ac:dyDescent="0.25">
      <c r="A157">
        <v>2022</v>
      </c>
      <c r="B157" s="1" t="s">
        <v>186</v>
      </c>
      <c r="C157" s="1" t="s">
        <v>178</v>
      </c>
      <c r="D157" s="1" t="s">
        <v>162</v>
      </c>
      <c r="E157">
        <v>5252</v>
      </c>
      <c r="F157" s="1" t="s">
        <v>187</v>
      </c>
      <c r="G157" s="1" t="s">
        <v>188</v>
      </c>
      <c r="H157">
        <v>0.84</v>
      </c>
      <c r="I157">
        <v>190</v>
      </c>
      <c r="J157">
        <v>3</v>
      </c>
      <c r="K157">
        <v>158.80000000000001</v>
      </c>
    </row>
    <row r="158" spans="1:11" x14ac:dyDescent="0.25">
      <c r="A158">
        <v>2023</v>
      </c>
      <c r="B158" s="1" t="s">
        <v>186</v>
      </c>
      <c r="C158" s="1" t="s">
        <v>178</v>
      </c>
      <c r="D158" s="1" t="s">
        <v>162</v>
      </c>
      <c r="E158">
        <v>5252</v>
      </c>
      <c r="F158" s="1" t="s">
        <v>187</v>
      </c>
      <c r="G158" s="1" t="s">
        <v>188</v>
      </c>
      <c r="H158">
        <v>1.1200000000000001</v>
      </c>
      <c r="I158">
        <v>256</v>
      </c>
      <c r="J158">
        <v>1</v>
      </c>
      <c r="K158">
        <v>286.3</v>
      </c>
    </row>
    <row r="159" spans="1:11" x14ac:dyDescent="0.25">
      <c r="A159">
        <v>2024</v>
      </c>
      <c r="B159" s="1" t="s">
        <v>186</v>
      </c>
      <c r="C159" s="1" t="s">
        <v>178</v>
      </c>
      <c r="D159" s="1" t="s">
        <v>162</v>
      </c>
      <c r="E159">
        <v>5252</v>
      </c>
      <c r="F159" s="1" t="s">
        <v>187</v>
      </c>
      <c r="G159" s="1" t="s">
        <v>188</v>
      </c>
      <c r="H159">
        <v>1.31</v>
      </c>
      <c r="I159">
        <v>254</v>
      </c>
      <c r="J159">
        <v>5</v>
      </c>
      <c r="K159">
        <v>332.4</v>
      </c>
    </row>
    <row r="160" spans="1:11" x14ac:dyDescent="0.25">
      <c r="A160">
        <v>2025</v>
      </c>
      <c r="B160" s="1" t="s">
        <v>186</v>
      </c>
      <c r="C160" s="1" t="s">
        <v>178</v>
      </c>
      <c r="D160" s="1" t="s">
        <v>162</v>
      </c>
      <c r="E160">
        <v>5252</v>
      </c>
      <c r="F160" s="1" t="s">
        <v>187</v>
      </c>
      <c r="G160" s="1" t="s">
        <v>188</v>
      </c>
      <c r="H160">
        <v>1.33</v>
      </c>
      <c r="I160">
        <v>296</v>
      </c>
      <c r="J160">
        <v>3</v>
      </c>
      <c r="K160">
        <v>392.6</v>
      </c>
    </row>
    <row r="161" spans="1:11" x14ac:dyDescent="0.25">
      <c r="A161">
        <v>2026</v>
      </c>
      <c r="B161" s="1" t="s">
        <v>186</v>
      </c>
      <c r="C161" s="1" t="s">
        <v>178</v>
      </c>
      <c r="D161" s="1" t="s">
        <v>162</v>
      </c>
      <c r="E161">
        <v>5252</v>
      </c>
      <c r="F161" s="1" t="s">
        <v>187</v>
      </c>
      <c r="G161" s="1" t="s">
        <v>188</v>
      </c>
      <c r="H161">
        <v>1.3</v>
      </c>
      <c r="I161">
        <v>283</v>
      </c>
      <c r="J161">
        <v>3</v>
      </c>
      <c r="K161">
        <v>369.1</v>
      </c>
    </row>
    <row r="162" spans="1:11" x14ac:dyDescent="0.25">
      <c r="A162">
        <v>2015</v>
      </c>
      <c r="B162" s="1" t="s">
        <v>189</v>
      </c>
      <c r="C162" s="1" t="s">
        <v>190</v>
      </c>
      <c r="D162" s="1" t="s">
        <v>191</v>
      </c>
      <c r="E162">
        <v>3127</v>
      </c>
      <c r="F162" s="1" t="s">
        <v>15</v>
      </c>
      <c r="G162" s="1" t="s">
        <v>192</v>
      </c>
      <c r="H162">
        <v>2.93</v>
      </c>
      <c r="I162">
        <v>159</v>
      </c>
      <c r="J162">
        <v>8</v>
      </c>
      <c r="K162">
        <v>465.9</v>
      </c>
    </row>
    <row r="163" spans="1:11" x14ac:dyDescent="0.25">
      <c r="A163">
        <v>2018</v>
      </c>
      <c r="B163" s="1" t="s">
        <v>189</v>
      </c>
      <c r="C163" s="1" t="s">
        <v>190</v>
      </c>
      <c r="D163" s="1" t="s">
        <v>191</v>
      </c>
      <c r="E163">
        <v>3127</v>
      </c>
      <c r="F163" s="1" t="s">
        <v>15</v>
      </c>
      <c r="G163" s="1" t="s">
        <v>192</v>
      </c>
      <c r="H163">
        <v>3.48</v>
      </c>
      <c r="I163">
        <v>161</v>
      </c>
      <c r="J163">
        <v>10</v>
      </c>
      <c r="K163">
        <v>559.79999999999995</v>
      </c>
    </row>
    <row r="164" spans="1:11" x14ac:dyDescent="0.25">
      <c r="A164">
        <v>2019</v>
      </c>
      <c r="B164" s="1" t="s">
        <v>189</v>
      </c>
      <c r="C164" s="1" t="s">
        <v>190</v>
      </c>
      <c r="D164" s="1" t="s">
        <v>191</v>
      </c>
      <c r="E164">
        <v>3127</v>
      </c>
      <c r="F164" s="1" t="s">
        <v>15</v>
      </c>
      <c r="G164" s="1" t="s">
        <v>192</v>
      </c>
      <c r="H164">
        <v>3.6</v>
      </c>
      <c r="I164">
        <v>153</v>
      </c>
      <c r="J164">
        <v>11</v>
      </c>
      <c r="K164">
        <v>551.20000000000005</v>
      </c>
    </row>
    <row r="165" spans="1:11" x14ac:dyDescent="0.25">
      <c r="A165">
        <v>2020</v>
      </c>
      <c r="B165" s="1" t="s">
        <v>189</v>
      </c>
      <c r="C165" s="1" t="s">
        <v>190</v>
      </c>
      <c r="D165" s="1" t="s">
        <v>191</v>
      </c>
      <c r="E165">
        <v>3127</v>
      </c>
      <c r="F165" s="1" t="s">
        <v>15</v>
      </c>
      <c r="G165" s="1" t="s">
        <v>192</v>
      </c>
      <c r="H165">
        <v>1.1399999999999999</v>
      </c>
      <c r="I165">
        <v>52</v>
      </c>
      <c r="J165">
        <v>2</v>
      </c>
      <c r="K165">
        <v>59.4</v>
      </c>
    </row>
    <row r="166" spans="1:11" x14ac:dyDescent="0.25">
      <c r="A166">
        <v>2021</v>
      </c>
      <c r="B166" s="1" t="s">
        <v>189</v>
      </c>
      <c r="C166" s="1" t="s">
        <v>190</v>
      </c>
      <c r="D166" s="1" t="s">
        <v>191</v>
      </c>
      <c r="E166">
        <v>3127</v>
      </c>
      <c r="F166" s="1" t="s">
        <v>15</v>
      </c>
      <c r="G166" s="1" t="s">
        <v>192</v>
      </c>
      <c r="H166">
        <v>1.87</v>
      </c>
      <c r="I166">
        <v>80</v>
      </c>
      <c r="J166">
        <v>4</v>
      </c>
      <c r="K166">
        <v>150.30000000000001</v>
      </c>
    </row>
    <row r="167" spans="1:11" x14ac:dyDescent="0.25">
      <c r="A167">
        <v>2022</v>
      </c>
      <c r="B167" s="1" t="s">
        <v>189</v>
      </c>
      <c r="C167" s="1" t="s">
        <v>190</v>
      </c>
      <c r="D167" s="1" t="s">
        <v>191</v>
      </c>
      <c r="E167">
        <v>3127</v>
      </c>
      <c r="F167" s="1" t="s">
        <v>15</v>
      </c>
      <c r="G167" s="1" t="s">
        <v>192</v>
      </c>
      <c r="H167">
        <v>2.72</v>
      </c>
      <c r="I167">
        <v>138</v>
      </c>
      <c r="J167">
        <v>7</v>
      </c>
      <c r="K167">
        <v>375.6</v>
      </c>
    </row>
    <row r="168" spans="1:11" x14ac:dyDescent="0.25">
      <c r="A168">
        <v>2023</v>
      </c>
      <c r="B168" s="1" t="s">
        <v>189</v>
      </c>
      <c r="C168" s="1" t="s">
        <v>190</v>
      </c>
      <c r="D168" s="1" t="s">
        <v>191</v>
      </c>
      <c r="E168">
        <v>3127</v>
      </c>
      <c r="F168" s="1" t="s">
        <v>15</v>
      </c>
      <c r="G168" s="1" t="s">
        <v>192</v>
      </c>
      <c r="H168">
        <v>3.49</v>
      </c>
      <c r="I168">
        <v>187</v>
      </c>
      <c r="J168">
        <v>10</v>
      </c>
      <c r="K168">
        <v>652</v>
      </c>
    </row>
    <row r="169" spans="1:11" x14ac:dyDescent="0.25">
      <c r="A169">
        <v>2024</v>
      </c>
      <c r="B169" s="1" t="s">
        <v>189</v>
      </c>
      <c r="C169" s="1" t="s">
        <v>190</v>
      </c>
      <c r="D169" s="1" t="s">
        <v>191</v>
      </c>
      <c r="E169">
        <v>3127</v>
      </c>
      <c r="F169" s="1" t="s">
        <v>15</v>
      </c>
      <c r="G169" s="1" t="s">
        <v>192</v>
      </c>
      <c r="H169">
        <v>3.98</v>
      </c>
      <c r="I169">
        <v>180</v>
      </c>
      <c r="J169">
        <v>11</v>
      </c>
      <c r="K169">
        <v>714.9</v>
      </c>
    </row>
    <row r="170" spans="1:11" x14ac:dyDescent="0.25">
      <c r="A170">
        <v>2025</v>
      </c>
      <c r="B170" s="1" t="s">
        <v>189</v>
      </c>
      <c r="C170" s="1" t="s">
        <v>190</v>
      </c>
      <c r="D170" s="1" t="s">
        <v>191</v>
      </c>
      <c r="E170">
        <v>3127</v>
      </c>
      <c r="F170" s="1" t="s">
        <v>15</v>
      </c>
      <c r="G170" s="1" t="s">
        <v>192</v>
      </c>
      <c r="H170">
        <v>3.77</v>
      </c>
      <c r="I170">
        <v>204</v>
      </c>
      <c r="J170">
        <v>11</v>
      </c>
      <c r="K170">
        <v>768.6</v>
      </c>
    </row>
    <row r="171" spans="1:11" x14ac:dyDescent="0.25">
      <c r="A171">
        <v>2026</v>
      </c>
      <c r="B171" s="1" t="s">
        <v>189</v>
      </c>
      <c r="C171" s="1" t="s">
        <v>190</v>
      </c>
      <c r="D171" s="1" t="s">
        <v>191</v>
      </c>
      <c r="E171">
        <v>3127</v>
      </c>
      <c r="F171" s="1" t="s">
        <v>15</v>
      </c>
      <c r="G171" s="1" t="s">
        <v>192</v>
      </c>
      <c r="H171">
        <v>4.1500000000000004</v>
      </c>
      <c r="I171">
        <v>194</v>
      </c>
      <c r="J171">
        <v>13</v>
      </c>
      <c r="K171">
        <v>808</v>
      </c>
    </row>
    <row r="172" spans="1:11" x14ac:dyDescent="0.25">
      <c r="A172">
        <v>2015</v>
      </c>
      <c r="B172" s="1" t="s">
        <v>193</v>
      </c>
      <c r="C172" s="1" t="s">
        <v>174</v>
      </c>
      <c r="D172" s="1" t="s">
        <v>191</v>
      </c>
      <c r="E172">
        <v>3974</v>
      </c>
      <c r="F172" s="1" t="s">
        <v>15</v>
      </c>
      <c r="G172" s="1" t="s">
        <v>194</v>
      </c>
      <c r="H172">
        <v>2.06</v>
      </c>
      <c r="I172">
        <v>166</v>
      </c>
      <c r="J172">
        <v>7</v>
      </c>
      <c r="K172">
        <v>342.5</v>
      </c>
    </row>
    <row r="173" spans="1:11" x14ac:dyDescent="0.25">
      <c r="A173">
        <v>2018</v>
      </c>
      <c r="B173" s="1" t="s">
        <v>193</v>
      </c>
      <c r="C173" s="1" t="s">
        <v>174</v>
      </c>
      <c r="D173" s="1" t="s">
        <v>191</v>
      </c>
      <c r="E173">
        <v>3974</v>
      </c>
      <c r="F173" s="1" t="s">
        <v>15</v>
      </c>
      <c r="G173" s="1" t="s">
        <v>194</v>
      </c>
      <c r="H173">
        <v>2.4500000000000002</v>
      </c>
      <c r="I173">
        <v>174</v>
      </c>
      <c r="J173">
        <v>5</v>
      </c>
      <c r="K173">
        <v>425.6</v>
      </c>
    </row>
    <row r="174" spans="1:11" x14ac:dyDescent="0.25">
      <c r="A174">
        <v>2019</v>
      </c>
      <c r="B174" s="1" t="s">
        <v>193</v>
      </c>
      <c r="C174" s="1" t="s">
        <v>174</v>
      </c>
      <c r="D174" s="1" t="s">
        <v>191</v>
      </c>
      <c r="E174">
        <v>3974</v>
      </c>
      <c r="F174" s="1" t="s">
        <v>15</v>
      </c>
      <c r="G174" s="1" t="s">
        <v>194</v>
      </c>
      <c r="H174">
        <v>2.4700000000000002</v>
      </c>
      <c r="I174">
        <v>203</v>
      </c>
      <c r="J174">
        <v>6</v>
      </c>
      <c r="K174">
        <v>502.5</v>
      </c>
    </row>
    <row r="175" spans="1:11" x14ac:dyDescent="0.25">
      <c r="A175">
        <v>2020</v>
      </c>
      <c r="B175" s="1" t="s">
        <v>193</v>
      </c>
      <c r="C175" s="1" t="s">
        <v>174</v>
      </c>
      <c r="D175" s="1" t="s">
        <v>191</v>
      </c>
      <c r="E175">
        <v>3974</v>
      </c>
      <c r="F175" s="1" t="s">
        <v>15</v>
      </c>
      <c r="G175" s="1" t="s">
        <v>194</v>
      </c>
      <c r="H175">
        <v>0.81</v>
      </c>
      <c r="I175">
        <v>64</v>
      </c>
      <c r="J175">
        <v>2</v>
      </c>
      <c r="K175">
        <v>51.5</v>
      </c>
    </row>
    <row r="176" spans="1:11" x14ac:dyDescent="0.25">
      <c r="A176">
        <v>2021</v>
      </c>
      <c r="B176" s="1" t="s">
        <v>193</v>
      </c>
      <c r="C176" s="1" t="s">
        <v>174</v>
      </c>
      <c r="D176" s="1" t="s">
        <v>191</v>
      </c>
      <c r="E176">
        <v>3974</v>
      </c>
      <c r="F176" s="1" t="s">
        <v>15</v>
      </c>
      <c r="G176" s="1" t="s">
        <v>194</v>
      </c>
      <c r="H176">
        <v>1.21</v>
      </c>
      <c r="I176">
        <v>109</v>
      </c>
      <c r="J176">
        <v>3</v>
      </c>
      <c r="K176">
        <v>132</v>
      </c>
    </row>
    <row r="177" spans="1:11" x14ac:dyDescent="0.25">
      <c r="A177">
        <v>2022</v>
      </c>
      <c r="B177" s="1" t="s">
        <v>193</v>
      </c>
      <c r="C177" s="1" t="s">
        <v>174</v>
      </c>
      <c r="D177" s="1" t="s">
        <v>191</v>
      </c>
      <c r="E177">
        <v>3974</v>
      </c>
      <c r="F177" s="1" t="s">
        <v>15</v>
      </c>
      <c r="G177" s="1" t="s">
        <v>194</v>
      </c>
      <c r="H177">
        <v>1.84</v>
      </c>
      <c r="I177">
        <v>163</v>
      </c>
      <c r="J177">
        <v>3</v>
      </c>
      <c r="K177">
        <v>299.8</v>
      </c>
    </row>
    <row r="178" spans="1:11" x14ac:dyDescent="0.25">
      <c r="A178">
        <v>2023</v>
      </c>
      <c r="B178" s="1" t="s">
        <v>193</v>
      </c>
      <c r="C178" s="1" t="s">
        <v>174</v>
      </c>
      <c r="D178" s="1" t="s">
        <v>191</v>
      </c>
      <c r="E178">
        <v>3974</v>
      </c>
      <c r="F178" s="1" t="s">
        <v>15</v>
      </c>
      <c r="G178" s="1" t="s">
        <v>194</v>
      </c>
      <c r="H178">
        <v>2.52</v>
      </c>
      <c r="I178">
        <v>201</v>
      </c>
      <c r="J178">
        <v>8</v>
      </c>
      <c r="K178">
        <v>505.4</v>
      </c>
    </row>
    <row r="179" spans="1:11" x14ac:dyDescent="0.25">
      <c r="A179">
        <v>2024</v>
      </c>
      <c r="B179" s="1" t="s">
        <v>193</v>
      </c>
      <c r="C179" s="1" t="s">
        <v>174</v>
      </c>
      <c r="D179" s="1" t="s">
        <v>191</v>
      </c>
      <c r="E179">
        <v>3974</v>
      </c>
      <c r="F179" s="1" t="s">
        <v>15</v>
      </c>
      <c r="G179" s="1" t="s">
        <v>194</v>
      </c>
      <c r="H179">
        <v>2.5</v>
      </c>
      <c r="I179">
        <v>208</v>
      </c>
      <c r="J179">
        <v>6</v>
      </c>
      <c r="K179">
        <v>519.20000000000005</v>
      </c>
    </row>
    <row r="180" spans="1:11" x14ac:dyDescent="0.25">
      <c r="A180">
        <v>2025</v>
      </c>
      <c r="B180" s="1" t="s">
        <v>193</v>
      </c>
      <c r="C180" s="1" t="s">
        <v>174</v>
      </c>
      <c r="D180" s="1" t="s">
        <v>191</v>
      </c>
      <c r="E180">
        <v>3974</v>
      </c>
      <c r="F180" s="1" t="s">
        <v>15</v>
      </c>
      <c r="G180" s="1" t="s">
        <v>194</v>
      </c>
      <c r="H180">
        <v>2.76</v>
      </c>
      <c r="I180">
        <v>231</v>
      </c>
      <c r="J180">
        <v>7</v>
      </c>
      <c r="K180">
        <v>637.70000000000005</v>
      </c>
    </row>
    <row r="181" spans="1:11" x14ac:dyDescent="0.25">
      <c r="A181">
        <v>2026</v>
      </c>
      <c r="B181" s="1" t="s">
        <v>193</v>
      </c>
      <c r="C181" s="1" t="s">
        <v>174</v>
      </c>
      <c r="D181" s="1" t="s">
        <v>191</v>
      </c>
      <c r="E181">
        <v>3974</v>
      </c>
      <c r="F181" s="1" t="s">
        <v>15</v>
      </c>
      <c r="G181" s="1" t="s">
        <v>194</v>
      </c>
      <c r="H181">
        <v>2.67</v>
      </c>
      <c r="I181">
        <v>217</v>
      </c>
      <c r="J181">
        <v>7</v>
      </c>
      <c r="K181">
        <v>580.20000000000005</v>
      </c>
    </row>
    <row r="182" spans="1:11" x14ac:dyDescent="0.25">
      <c r="A182">
        <v>2015</v>
      </c>
      <c r="B182" s="1" t="s">
        <v>195</v>
      </c>
      <c r="C182" s="1" t="s">
        <v>196</v>
      </c>
      <c r="D182" s="1" t="s">
        <v>197</v>
      </c>
      <c r="E182">
        <v>1190</v>
      </c>
      <c r="F182" s="1" t="s">
        <v>15</v>
      </c>
      <c r="G182" s="1" t="s">
        <v>198</v>
      </c>
      <c r="H182">
        <v>5.44</v>
      </c>
      <c r="I182">
        <v>91</v>
      </c>
      <c r="J182">
        <v>16</v>
      </c>
      <c r="K182">
        <v>495.1</v>
      </c>
    </row>
    <row r="183" spans="1:11" x14ac:dyDescent="0.25">
      <c r="A183">
        <v>2018</v>
      </c>
      <c r="B183" s="1" t="s">
        <v>195</v>
      </c>
      <c r="C183" s="1" t="s">
        <v>196</v>
      </c>
      <c r="D183" s="1" t="s">
        <v>197</v>
      </c>
      <c r="E183">
        <v>1190</v>
      </c>
      <c r="F183" s="1" t="s">
        <v>15</v>
      </c>
      <c r="G183" s="1" t="s">
        <v>198</v>
      </c>
      <c r="H183">
        <v>6.57</v>
      </c>
      <c r="I183">
        <v>90</v>
      </c>
      <c r="J183">
        <v>19</v>
      </c>
      <c r="K183">
        <v>590.4</v>
      </c>
    </row>
    <row r="184" spans="1:11" x14ac:dyDescent="0.25">
      <c r="A184">
        <v>2019</v>
      </c>
      <c r="B184" s="1" t="s">
        <v>195</v>
      </c>
      <c r="C184" s="1" t="s">
        <v>196</v>
      </c>
      <c r="D184" s="1" t="s">
        <v>197</v>
      </c>
      <c r="E184">
        <v>1190</v>
      </c>
      <c r="F184" s="1" t="s">
        <v>15</v>
      </c>
      <c r="G184" s="1" t="s">
        <v>198</v>
      </c>
      <c r="H184">
        <v>6.56</v>
      </c>
      <c r="I184">
        <v>88</v>
      </c>
      <c r="J184">
        <v>21</v>
      </c>
      <c r="K184">
        <v>578.5</v>
      </c>
    </row>
    <row r="185" spans="1:11" x14ac:dyDescent="0.25">
      <c r="A185">
        <v>2020</v>
      </c>
      <c r="B185" s="1" t="s">
        <v>195</v>
      </c>
      <c r="C185" s="1" t="s">
        <v>196</v>
      </c>
      <c r="D185" s="1" t="s">
        <v>197</v>
      </c>
      <c r="E185">
        <v>1190</v>
      </c>
      <c r="F185" s="1" t="s">
        <v>15</v>
      </c>
      <c r="G185" s="1" t="s">
        <v>198</v>
      </c>
      <c r="H185">
        <v>1.96</v>
      </c>
      <c r="I185">
        <v>31</v>
      </c>
      <c r="J185">
        <v>5</v>
      </c>
      <c r="K185">
        <v>60.1</v>
      </c>
    </row>
    <row r="186" spans="1:11" x14ac:dyDescent="0.25">
      <c r="A186">
        <v>2021</v>
      </c>
      <c r="B186" s="1" t="s">
        <v>195</v>
      </c>
      <c r="C186" s="1" t="s">
        <v>196</v>
      </c>
      <c r="D186" s="1" t="s">
        <v>197</v>
      </c>
      <c r="E186">
        <v>1190</v>
      </c>
      <c r="F186" s="1" t="s">
        <v>15</v>
      </c>
      <c r="G186" s="1" t="s">
        <v>198</v>
      </c>
      <c r="H186">
        <v>3.27</v>
      </c>
      <c r="I186">
        <v>46</v>
      </c>
      <c r="J186">
        <v>11</v>
      </c>
      <c r="K186">
        <v>151.4</v>
      </c>
    </row>
    <row r="187" spans="1:11" x14ac:dyDescent="0.25">
      <c r="A187">
        <v>2022</v>
      </c>
      <c r="B187" s="1" t="s">
        <v>195</v>
      </c>
      <c r="C187" s="1" t="s">
        <v>196</v>
      </c>
      <c r="D187" s="1" t="s">
        <v>197</v>
      </c>
      <c r="E187">
        <v>1190</v>
      </c>
      <c r="F187" s="1" t="s">
        <v>15</v>
      </c>
      <c r="G187" s="1" t="s">
        <v>198</v>
      </c>
      <c r="H187">
        <v>4.99</v>
      </c>
      <c r="I187">
        <v>75</v>
      </c>
      <c r="J187">
        <v>16</v>
      </c>
      <c r="K187">
        <v>373.8</v>
      </c>
    </row>
    <row r="188" spans="1:11" x14ac:dyDescent="0.25">
      <c r="A188">
        <v>2023</v>
      </c>
      <c r="B188" s="1" t="s">
        <v>195</v>
      </c>
      <c r="C188" s="1" t="s">
        <v>196</v>
      </c>
      <c r="D188" s="1" t="s">
        <v>197</v>
      </c>
      <c r="E188">
        <v>1190</v>
      </c>
      <c r="F188" s="1" t="s">
        <v>15</v>
      </c>
      <c r="G188" s="1" t="s">
        <v>198</v>
      </c>
      <c r="H188">
        <v>6.54</v>
      </c>
      <c r="I188">
        <v>97</v>
      </c>
      <c r="J188">
        <v>18</v>
      </c>
      <c r="K188">
        <v>635.29999999999995</v>
      </c>
    </row>
    <row r="189" spans="1:11" x14ac:dyDescent="0.25">
      <c r="A189">
        <v>2024</v>
      </c>
      <c r="B189" s="1" t="s">
        <v>195</v>
      </c>
      <c r="C189" s="1" t="s">
        <v>196</v>
      </c>
      <c r="D189" s="1" t="s">
        <v>197</v>
      </c>
      <c r="E189">
        <v>1190</v>
      </c>
      <c r="F189" s="1" t="s">
        <v>15</v>
      </c>
      <c r="G189" s="1" t="s">
        <v>198</v>
      </c>
      <c r="H189">
        <v>6.72</v>
      </c>
      <c r="I189">
        <v>96</v>
      </c>
      <c r="J189">
        <v>20</v>
      </c>
      <c r="K189">
        <v>648.1</v>
      </c>
    </row>
    <row r="190" spans="1:11" x14ac:dyDescent="0.25">
      <c r="A190">
        <v>2025</v>
      </c>
      <c r="B190" s="1" t="s">
        <v>195</v>
      </c>
      <c r="C190" s="1" t="s">
        <v>196</v>
      </c>
      <c r="D190" s="1" t="s">
        <v>197</v>
      </c>
      <c r="E190">
        <v>1190</v>
      </c>
      <c r="F190" s="1" t="s">
        <v>15</v>
      </c>
      <c r="G190" s="1" t="s">
        <v>198</v>
      </c>
      <c r="H190">
        <v>7.28</v>
      </c>
      <c r="I190">
        <v>99</v>
      </c>
      <c r="J190">
        <v>21</v>
      </c>
      <c r="K190">
        <v>719.5</v>
      </c>
    </row>
    <row r="191" spans="1:11" x14ac:dyDescent="0.25">
      <c r="A191">
        <v>2026</v>
      </c>
      <c r="B191" s="1" t="s">
        <v>195</v>
      </c>
      <c r="C191" s="1" t="s">
        <v>196</v>
      </c>
      <c r="D191" s="1" t="s">
        <v>197</v>
      </c>
      <c r="E191">
        <v>1190</v>
      </c>
      <c r="F191" s="1" t="s">
        <v>15</v>
      </c>
      <c r="G191" s="1" t="s">
        <v>198</v>
      </c>
      <c r="H191">
        <v>6.94</v>
      </c>
      <c r="I191">
        <v>109</v>
      </c>
      <c r="J191">
        <v>19</v>
      </c>
      <c r="K191">
        <v>756.1</v>
      </c>
    </row>
    <row r="192" spans="1:11" x14ac:dyDescent="0.25">
      <c r="A192">
        <v>2015</v>
      </c>
      <c r="B192" s="1" t="s">
        <v>199</v>
      </c>
      <c r="C192" s="1" t="s">
        <v>200</v>
      </c>
      <c r="D192" s="1" t="s">
        <v>201</v>
      </c>
      <c r="E192">
        <v>3358</v>
      </c>
      <c r="F192" s="1" t="s">
        <v>15</v>
      </c>
      <c r="G192" s="1" t="s">
        <v>202</v>
      </c>
      <c r="H192">
        <v>2.59</v>
      </c>
      <c r="I192">
        <v>176</v>
      </c>
      <c r="J192">
        <v>8</v>
      </c>
      <c r="K192">
        <v>454.6</v>
      </c>
    </row>
    <row r="193" spans="1:11" x14ac:dyDescent="0.25">
      <c r="A193">
        <v>2018</v>
      </c>
      <c r="B193" s="1" t="s">
        <v>199</v>
      </c>
      <c r="C193" s="1" t="s">
        <v>200</v>
      </c>
      <c r="D193" s="1" t="s">
        <v>201</v>
      </c>
      <c r="E193">
        <v>3358</v>
      </c>
      <c r="F193" s="1" t="s">
        <v>15</v>
      </c>
      <c r="G193" s="1" t="s">
        <v>202</v>
      </c>
      <c r="H193">
        <v>2.8</v>
      </c>
      <c r="I193">
        <v>184</v>
      </c>
      <c r="J193">
        <v>7</v>
      </c>
      <c r="K193">
        <v>515.1</v>
      </c>
    </row>
    <row r="194" spans="1:11" x14ac:dyDescent="0.25">
      <c r="A194">
        <v>2019</v>
      </c>
      <c r="B194" s="1" t="s">
        <v>199</v>
      </c>
      <c r="C194" s="1" t="s">
        <v>200</v>
      </c>
      <c r="D194" s="1" t="s">
        <v>201</v>
      </c>
      <c r="E194">
        <v>3358</v>
      </c>
      <c r="F194" s="1" t="s">
        <v>15</v>
      </c>
      <c r="G194" s="1" t="s">
        <v>202</v>
      </c>
      <c r="H194">
        <v>2.89</v>
      </c>
      <c r="I194">
        <v>188</v>
      </c>
      <c r="J194">
        <v>6</v>
      </c>
      <c r="K194">
        <v>542.6</v>
      </c>
    </row>
    <row r="195" spans="1:11" x14ac:dyDescent="0.25">
      <c r="A195">
        <v>2020</v>
      </c>
      <c r="B195" s="1" t="s">
        <v>199</v>
      </c>
      <c r="C195" s="1" t="s">
        <v>200</v>
      </c>
      <c r="D195" s="1" t="s">
        <v>201</v>
      </c>
      <c r="E195">
        <v>3358</v>
      </c>
      <c r="F195" s="1" t="s">
        <v>15</v>
      </c>
      <c r="G195" s="1" t="s">
        <v>202</v>
      </c>
      <c r="H195">
        <v>0.9</v>
      </c>
      <c r="I195">
        <v>52</v>
      </c>
      <c r="J195">
        <v>2</v>
      </c>
      <c r="K195">
        <v>46.7</v>
      </c>
    </row>
    <row r="196" spans="1:11" x14ac:dyDescent="0.25">
      <c r="A196">
        <v>2021</v>
      </c>
      <c r="B196" s="1" t="s">
        <v>199</v>
      </c>
      <c r="C196" s="1" t="s">
        <v>200</v>
      </c>
      <c r="D196" s="1" t="s">
        <v>201</v>
      </c>
      <c r="E196">
        <v>3358</v>
      </c>
      <c r="F196" s="1" t="s">
        <v>15</v>
      </c>
      <c r="G196" s="1" t="s">
        <v>202</v>
      </c>
      <c r="H196">
        <v>1.44</v>
      </c>
      <c r="I196">
        <v>95</v>
      </c>
      <c r="J196">
        <v>4</v>
      </c>
      <c r="K196">
        <v>135.80000000000001</v>
      </c>
    </row>
    <row r="197" spans="1:11" x14ac:dyDescent="0.25">
      <c r="A197">
        <v>2022</v>
      </c>
      <c r="B197" s="1" t="s">
        <v>199</v>
      </c>
      <c r="C197" s="1" t="s">
        <v>200</v>
      </c>
      <c r="D197" s="1" t="s">
        <v>201</v>
      </c>
      <c r="E197">
        <v>3358</v>
      </c>
      <c r="F197" s="1" t="s">
        <v>15</v>
      </c>
      <c r="G197" s="1" t="s">
        <v>202</v>
      </c>
      <c r="H197">
        <v>2.38</v>
      </c>
      <c r="I197">
        <v>138</v>
      </c>
      <c r="J197">
        <v>6</v>
      </c>
      <c r="K197">
        <v>328.9</v>
      </c>
    </row>
    <row r="198" spans="1:11" x14ac:dyDescent="0.25">
      <c r="A198">
        <v>2023</v>
      </c>
      <c r="B198" s="1" t="s">
        <v>199</v>
      </c>
      <c r="C198" s="1" t="s">
        <v>200</v>
      </c>
      <c r="D198" s="1" t="s">
        <v>201</v>
      </c>
      <c r="E198">
        <v>3358</v>
      </c>
      <c r="F198" s="1" t="s">
        <v>15</v>
      </c>
      <c r="G198" s="1" t="s">
        <v>202</v>
      </c>
      <c r="H198">
        <v>2.82</v>
      </c>
      <c r="I198">
        <v>162</v>
      </c>
      <c r="J198">
        <v>8</v>
      </c>
      <c r="K198">
        <v>455.6</v>
      </c>
    </row>
    <row r="199" spans="1:11" x14ac:dyDescent="0.25">
      <c r="A199">
        <v>2024</v>
      </c>
      <c r="B199" s="1" t="s">
        <v>199</v>
      </c>
      <c r="C199" s="1" t="s">
        <v>200</v>
      </c>
      <c r="D199" s="1" t="s">
        <v>201</v>
      </c>
      <c r="E199">
        <v>3358</v>
      </c>
      <c r="F199" s="1" t="s">
        <v>15</v>
      </c>
      <c r="G199" s="1" t="s">
        <v>202</v>
      </c>
      <c r="H199">
        <v>3.22</v>
      </c>
      <c r="I199">
        <v>224</v>
      </c>
      <c r="J199">
        <v>9</v>
      </c>
      <c r="K199">
        <v>723.5</v>
      </c>
    </row>
    <row r="200" spans="1:11" x14ac:dyDescent="0.25">
      <c r="A200">
        <v>2025</v>
      </c>
      <c r="B200" s="1" t="s">
        <v>199</v>
      </c>
      <c r="C200" s="1" t="s">
        <v>200</v>
      </c>
      <c r="D200" s="1" t="s">
        <v>201</v>
      </c>
      <c r="E200">
        <v>3358</v>
      </c>
      <c r="F200" s="1" t="s">
        <v>15</v>
      </c>
      <c r="G200" s="1" t="s">
        <v>202</v>
      </c>
      <c r="H200">
        <v>3.26</v>
      </c>
      <c r="I200">
        <v>196</v>
      </c>
      <c r="J200">
        <v>10</v>
      </c>
      <c r="K200">
        <v>639.20000000000005</v>
      </c>
    </row>
    <row r="201" spans="1:11" x14ac:dyDescent="0.25">
      <c r="A201">
        <v>2026</v>
      </c>
      <c r="B201" s="1" t="s">
        <v>199</v>
      </c>
      <c r="C201" s="1" t="s">
        <v>200</v>
      </c>
      <c r="D201" s="1" t="s">
        <v>201</v>
      </c>
      <c r="E201">
        <v>3358</v>
      </c>
      <c r="F201" s="1" t="s">
        <v>15</v>
      </c>
      <c r="G201" s="1" t="s">
        <v>202</v>
      </c>
      <c r="H201">
        <v>3.41</v>
      </c>
      <c r="I201">
        <v>206</v>
      </c>
      <c r="J201">
        <v>11</v>
      </c>
      <c r="K201">
        <v>701.7</v>
      </c>
    </row>
    <row r="202" spans="1:11" x14ac:dyDescent="0.25">
      <c r="A202">
        <v>2015</v>
      </c>
      <c r="B202" s="1" t="s">
        <v>203</v>
      </c>
      <c r="C202" s="1" t="s">
        <v>204</v>
      </c>
      <c r="D202" s="1" t="s">
        <v>205</v>
      </c>
      <c r="E202">
        <v>1281</v>
      </c>
      <c r="F202" s="1" t="s">
        <v>95</v>
      </c>
      <c r="G202" s="1" t="s">
        <v>206</v>
      </c>
      <c r="H202">
        <v>7.06</v>
      </c>
      <c r="I202">
        <v>89</v>
      </c>
      <c r="J202">
        <v>21</v>
      </c>
      <c r="K202">
        <v>627.4</v>
      </c>
    </row>
    <row r="203" spans="1:11" x14ac:dyDescent="0.25">
      <c r="A203">
        <v>2018</v>
      </c>
      <c r="B203" s="1" t="s">
        <v>203</v>
      </c>
      <c r="C203" s="1" t="s">
        <v>204</v>
      </c>
      <c r="D203" s="1" t="s">
        <v>205</v>
      </c>
      <c r="E203">
        <v>1281</v>
      </c>
      <c r="F203" s="1" t="s">
        <v>95</v>
      </c>
      <c r="G203" s="1" t="s">
        <v>206</v>
      </c>
      <c r="H203">
        <v>7.49</v>
      </c>
      <c r="I203">
        <v>111</v>
      </c>
      <c r="J203">
        <v>21</v>
      </c>
      <c r="K203">
        <v>833.2</v>
      </c>
    </row>
    <row r="204" spans="1:11" x14ac:dyDescent="0.25">
      <c r="A204">
        <v>2019</v>
      </c>
      <c r="B204" s="1" t="s">
        <v>203</v>
      </c>
      <c r="C204" s="1" t="s">
        <v>204</v>
      </c>
      <c r="D204" s="1" t="s">
        <v>205</v>
      </c>
      <c r="E204">
        <v>1281</v>
      </c>
      <c r="F204" s="1" t="s">
        <v>95</v>
      </c>
      <c r="G204" s="1" t="s">
        <v>206</v>
      </c>
      <c r="H204">
        <v>8.08</v>
      </c>
      <c r="I204">
        <v>97</v>
      </c>
      <c r="J204">
        <v>26</v>
      </c>
      <c r="K204">
        <v>782</v>
      </c>
    </row>
    <row r="205" spans="1:11" x14ac:dyDescent="0.25">
      <c r="A205">
        <v>2020</v>
      </c>
      <c r="B205" s="1" t="s">
        <v>203</v>
      </c>
      <c r="C205" s="1" t="s">
        <v>204</v>
      </c>
      <c r="D205" s="1" t="s">
        <v>205</v>
      </c>
      <c r="E205">
        <v>1281</v>
      </c>
      <c r="F205" s="1" t="s">
        <v>95</v>
      </c>
      <c r="G205" s="1" t="s">
        <v>206</v>
      </c>
      <c r="H205">
        <v>2.48</v>
      </c>
      <c r="I205">
        <v>29</v>
      </c>
      <c r="J205">
        <v>7</v>
      </c>
      <c r="K205">
        <v>72.400000000000006</v>
      </c>
    </row>
    <row r="206" spans="1:11" x14ac:dyDescent="0.25">
      <c r="A206">
        <v>2021</v>
      </c>
      <c r="B206" s="1" t="s">
        <v>203</v>
      </c>
      <c r="C206" s="1" t="s">
        <v>204</v>
      </c>
      <c r="D206" s="1" t="s">
        <v>205</v>
      </c>
      <c r="E206">
        <v>1281</v>
      </c>
      <c r="F206" s="1" t="s">
        <v>95</v>
      </c>
      <c r="G206" s="1" t="s">
        <v>206</v>
      </c>
      <c r="H206">
        <v>4.03</v>
      </c>
      <c r="I206">
        <v>49</v>
      </c>
      <c r="J206">
        <v>12</v>
      </c>
      <c r="K206">
        <v>197.9</v>
      </c>
    </row>
    <row r="207" spans="1:11" x14ac:dyDescent="0.25">
      <c r="A207">
        <v>2022</v>
      </c>
      <c r="B207" s="1" t="s">
        <v>203</v>
      </c>
      <c r="C207" s="1" t="s">
        <v>204</v>
      </c>
      <c r="D207" s="1" t="s">
        <v>205</v>
      </c>
      <c r="E207">
        <v>1281</v>
      </c>
      <c r="F207" s="1" t="s">
        <v>95</v>
      </c>
      <c r="G207" s="1" t="s">
        <v>206</v>
      </c>
      <c r="H207">
        <v>6.08</v>
      </c>
      <c r="I207">
        <v>77</v>
      </c>
      <c r="J207">
        <v>18</v>
      </c>
      <c r="K207">
        <v>467.8</v>
      </c>
    </row>
    <row r="208" spans="1:11" x14ac:dyDescent="0.25">
      <c r="A208">
        <v>2023</v>
      </c>
      <c r="B208" s="1" t="s">
        <v>203</v>
      </c>
      <c r="C208" s="1" t="s">
        <v>204</v>
      </c>
      <c r="D208" s="1" t="s">
        <v>205</v>
      </c>
      <c r="E208">
        <v>1281</v>
      </c>
      <c r="F208" s="1" t="s">
        <v>95</v>
      </c>
      <c r="G208" s="1" t="s">
        <v>206</v>
      </c>
      <c r="H208">
        <v>7.72</v>
      </c>
      <c r="I208">
        <v>98</v>
      </c>
      <c r="J208">
        <v>23</v>
      </c>
      <c r="K208">
        <v>752.5</v>
      </c>
    </row>
    <row r="209" spans="1:11" x14ac:dyDescent="0.25">
      <c r="A209">
        <v>2024</v>
      </c>
      <c r="B209" s="1" t="s">
        <v>203</v>
      </c>
      <c r="C209" s="1" t="s">
        <v>204</v>
      </c>
      <c r="D209" s="1" t="s">
        <v>205</v>
      </c>
      <c r="E209">
        <v>1281</v>
      </c>
      <c r="F209" s="1" t="s">
        <v>95</v>
      </c>
      <c r="G209" s="1" t="s">
        <v>206</v>
      </c>
      <c r="H209">
        <v>8.17</v>
      </c>
      <c r="I209">
        <v>118</v>
      </c>
      <c r="J209">
        <v>23</v>
      </c>
      <c r="K209">
        <v>961.5</v>
      </c>
    </row>
    <row r="210" spans="1:11" x14ac:dyDescent="0.25">
      <c r="A210">
        <v>2025</v>
      </c>
      <c r="B210" s="1" t="s">
        <v>203</v>
      </c>
      <c r="C210" s="1" t="s">
        <v>204</v>
      </c>
      <c r="D210" s="1" t="s">
        <v>205</v>
      </c>
      <c r="E210">
        <v>1281</v>
      </c>
      <c r="F210" s="1" t="s">
        <v>95</v>
      </c>
      <c r="G210" s="1" t="s">
        <v>206</v>
      </c>
      <c r="H210">
        <v>8.93</v>
      </c>
      <c r="I210">
        <v>109</v>
      </c>
      <c r="J210">
        <v>28</v>
      </c>
      <c r="K210">
        <v>976</v>
      </c>
    </row>
    <row r="211" spans="1:11" x14ac:dyDescent="0.25">
      <c r="A211">
        <v>2026</v>
      </c>
      <c r="B211" s="1" t="s">
        <v>203</v>
      </c>
      <c r="C211" s="1" t="s">
        <v>204</v>
      </c>
      <c r="D211" s="1" t="s">
        <v>205</v>
      </c>
      <c r="E211">
        <v>1281</v>
      </c>
      <c r="F211" s="1" t="s">
        <v>95</v>
      </c>
      <c r="G211" s="1" t="s">
        <v>206</v>
      </c>
      <c r="H211">
        <v>8.6199999999999992</v>
      </c>
      <c r="I211">
        <v>108</v>
      </c>
      <c r="J211">
        <v>24</v>
      </c>
      <c r="K211">
        <v>935.7</v>
      </c>
    </row>
    <row r="212" spans="1:11" x14ac:dyDescent="0.25">
      <c r="A212">
        <v>2015</v>
      </c>
      <c r="B212" s="1" t="s">
        <v>207</v>
      </c>
      <c r="C212" s="1" t="s">
        <v>208</v>
      </c>
      <c r="D212" s="1" t="s">
        <v>209</v>
      </c>
      <c r="E212">
        <v>360</v>
      </c>
      <c r="F212" s="1" t="s">
        <v>95</v>
      </c>
      <c r="G212" s="1" t="s">
        <v>210</v>
      </c>
      <c r="H212">
        <v>5.29</v>
      </c>
      <c r="I212">
        <v>53</v>
      </c>
      <c r="J212">
        <v>13</v>
      </c>
      <c r="K212">
        <v>281.39999999999998</v>
      </c>
    </row>
    <row r="213" spans="1:11" x14ac:dyDescent="0.25">
      <c r="A213">
        <v>2018</v>
      </c>
      <c r="B213" s="1" t="s">
        <v>207</v>
      </c>
      <c r="C213" s="1" t="s">
        <v>208</v>
      </c>
      <c r="D213" s="1" t="s">
        <v>209</v>
      </c>
      <c r="E213">
        <v>360</v>
      </c>
      <c r="F213" s="1" t="s">
        <v>95</v>
      </c>
      <c r="G213" s="1" t="s">
        <v>210</v>
      </c>
      <c r="H213">
        <v>6.31</v>
      </c>
      <c r="I213">
        <v>59</v>
      </c>
      <c r="J213">
        <v>17</v>
      </c>
      <c r="K213">
        <v>374.5</v>
      </c>
    </row>
    <row r="214" spans="1:11" x14ac:dyDescent="0.25">
      <c r="A214">
        <v>2019</v>
      </c>
      <c r="B214" s="1" t="s">
        <v>207</v>
      </c>
      <c r="C214" s="1" t="s">
        <v>208</v>
      </c>
      <c r="D214" s="1" t="s">
        <v>209</v>
      </c>
      <c r="E214">
        <v>360</v>
      </c>
      <c r="F214" s="1" t="s">
        <v>95</v>
      </c>
      <c r="G214" s="1" t="s">
        <v>210</v>
      </c>
      <c r="H214">
        <v>6.87</v>
      </c>
      <c r="I214">
        <v>60</v>
      </c>
      <c r="J214">
        <v>21</v>
      </c>
      <c r="K214">
        <v>408.9</v>
      </c>
    </row>
    <row r="215" spans="1:11" x14ac:dyDescent="0.25">
      <c r="A215">
        <v>2020</v>
      </c>
      <c r="B215" s="1" t="s">
        <v>207</v>
      </c>
      <c r="C215" s="1" t="s">
        <v>208</v>
      </c>
      <c r="D215" s="1" t="s">
        <v>209</v>
      </c>
      <c r="E215">
        <v>360</v>
      </c>
      <c r="F215" s="1" t="s">
        <v>95</v>
      </c>
      <c r="G215" s="1" t="s">
        <v>210</v>
      </c>
      <c r="H215">
        <v>1.92</v>
      </c>
      <c r="I215">
        <v>21</v>
      </c>
      <c r="J215">
        <v>6</v>
      </c>
      <c r="K215">
        <v>40.799999999999997</v>
      </c>
    </row>
    <row r="216" spans="1:11" x14ac:dyDescent="0.25">
      <c r="A216">
        <v>2021</v>
      </c>
      <c r="B216" s="1" t="s">
        <v>207</v>
      </c>
      <c r="C216" s="1" t="s">
        <v>208</v>
      </c>
      <c r="D216" s="1" t="s">
        <v>209</v>
      </c>
      <c r="E216">
        <v>360</v>
      </c>
      <c r="F216" s="1" t="s">
        <v>95</v>
      </c>
      <c r="G216" s="1" t="s">
        <v>210</v>
      </c>
      <c r="H216">
        <v>3.16</v>
      </c>
      <c r="I216">
        <v>30</v>
      </c>
      <c r="J216">
        <v>10</v>
      </c>
      <c r="K216">
        <v>96.3</v>
      </c>
    </row>
    <row r="217" spans="1:11" x14ac:dyDescent="0.25">
      <c r="A217">
        <v>2022</v>
      </c>
      <c r="B217" s="1" t="s">
        <v>207</v>
      </c>
      <c r="C217" s="1" t="s">
        <v>208</v>
      </c>
      <c r="D217" s="1" t="s">
        <v>209</v>
      </c>
      <c r="E217">
        <v>360</v>
      </c>
      <c r="F217" s="1" t="s">
        <v>95</v>
      </c>
      <c r="G217" s="1" t="s">
        <v>210</v>
      </c>
      <c r="H217">
        <v>4.88</v>
      </c>
      <c r="I217">
        <v>48</v>
      </c>
      <c r="J217">
        <v>15</v>
      </c>
      <c r="K217">
        <v>233.4</v>
      </c>
    </row>
    <row r="218" spans="1:11" x14ac:dyDescent="0.25">
      <c r="A218">
        <v>2023</v>
      </c>
      <c r="B218" s="1" t="s">
        <v>207</v>
      </c>
      <c r="C218" s="1" t="s">
        <v>208</v>
      </c>
      <c r="D218" s="1" t="s">
        <v>209</v>
      </c>
      <c r="E218">
        <v>360</v>
      </c>
      <c r="F218" s="1" t="s">
        <v>95</v>
      </c>
      <c r="G218" s="1" t="s">
        <v>210</v>
      </c>
      <c r="H218">
        <v>6.06</v>
      </c>
      <c r="I218">
        <v>62</v>
      </c>
      <c r="J218">
        <v>19</v>
      </c>
      <c r="K218">
        <v>373</v>
      </c>
    </row>
    <row r="219" spans="1:11" x14ac:dyDescent="0.25">
      <c r="A219">
        <v>2024</v>
      </c>
      <c r="B219" s="1" t="s">
        <v>207</v>
      </c>
      <c r="C219" s="1" t="s">
        <v>208</v>
      </c>
      <c r="D219" s="1" t="s">
        <v>209</v>
      </c>
      <c r="E219">
        <v>360</v>
      </c>
      <c r="F219" s="1" t="s">
        <v>95</v>
      </c>
      <c r="G219" s="1" t="s">
        <v>210</v>
      </c>
      <c r="H219">
        <v>7.13</v>
      </c>
      <c r="I219">
        <v>67</v>
      </c>
      <c r="J219">
        <v>21</v>
      </c>
      <c r="K219">
        <v>477.7</v>
      </c>
    </row>
    <row r="220" spans="1:11" x14ac:dyDescent="0.25">
      <c r="A220">
        <v>2025</v>
      </c>
      <c r="B220" s="1" t="s">
        <v>207</v>
      </c>
      <c r="C220" s="1" t="s">
        <v>208</v>
      </c>
      <c r="D220" s="1" t="s">
        <v>209</v>
      </c>
      <c r="E220">
        <v>360</v>
      </c>
      <c r="F220" s="1" t="s">
        <v>95</v>
      </c>
      <c r="G220" s="1" t="s">
        <v>210</v>
      </c>
      <c r="H220">
        <v>6.75</v>
      </c>
      <c r="I220">
        <v>66</v>
      </c>
      <c r="J220">
        <v>20</v>
      </c>
      <c r="K220">
        <v>448.7</v>
      </c>
    </row>
    <row r="221" spans="1:11" x14ac:dyDescent="0.25">
      <c r="A221">
        <v>2026</v>
      </c>
      <c r="B221" s="1" t="s">
        <v>207</v>
      </c>
      <c r="C221" s="1" t="s">
        <v>208</v>
      </c>
      <c r="D221" s="1" t="s">
        <v>209</v>
      </c>
      <c r="E221">
        <v>360</v>
      </c>
      <c r="F221" s="1" t="s">
        <v>95</v>
      </c>
      <c r="G221" s="1" t="s">
        <v>210</v>
      </c>
      <c r="H221">
        <v>7.33</v>
      </c>
      <c r="I221">
        <v>72</v>
      </c>
      <c r="J221">
        <v>23</v>
      </c>
      <c r="K221">
        <v>530.70000000000005</v>
      </c>
    </row>
    <row r="222" spans="1:11" x14ac:dyDescent="0.25">
      <c r="A222">
        <v>2015</v>
      </c>
      <c r="B222" s="1" t="s">
        <v>211</v>
      </c>
      <c r="C222" s="1" t="s">
        <v>212</v>
      </c>
      <c r="D222" s="1" t="s">
        <v>213</v>
      </c>
      <c r="E222">
        <v>1881</v>
      </c>
      <c r="F222" s="1" t="s">
        <v>95</v>
      </c>
      <c r="G222" s="1" t="s">
        <v>214</v>
      </c>
      <c r="H222">
        <v>5</v>
      </c>
      <c r="I222">
        <v>108</v>
      </c>
      <c r="J222">
        <v>14</v>
      </c>
      <c r="K222">
        <v>537.9</v>
      </c>
    </row>
    <row r="223" spans="1:11" x14ac:dyDescent="0.25">
      <c r="A223">
        <v>2018</v>
      </c>
      <c r="B223" s="1" t="s">
        <v>211</v>
      </c>
      <c r="C223" s="1" t="s">
        <v>212</v>
      </c>
      <c r="D223" s="1" t="s">
        <v>213</v>
      </c>
      <c r="E223">
        <v>1881</v>
      </c>
      <c r="F223" s="1" t="s">
        <v>95</v>
      </c>
      <c r="G223" s="1" t="s">
        <v>214</v>
      </c>
      <c r="H223">
        <v>5.97</v>
      </c>
      <c r="I223">
        <v>126</v>
      </c>
      <c r="J223">
        <v>18</v>
      </c>
      <c r="K223">
        <v>750</v>
      </c>
    </row>
    <row r="224" spans="1:11" x14ac:dyDescent="0.25">
      <c r="A224">
        <v>2019</v>
      </c>
      <c r="B224" s="1" t="s">
        <v>211</v>
      </c>
      <c r="C224" s="1" t="s">
        <v>212</v>
      </c>
      <c r="D224" s="1" t="s">
        <v>213</v>
      </c>
      <c r="E224">
        <v>1881</v>
      </c>
      <c r="F224" s="1" t="s">
        <v>95</v>
      </c>
      <c r="G224" s="1" t="s">
        <v>214</v>
      </c>
      <c r="H224">
        <v>6.38</v>
      </c>
      <c r="I224">
        <v>114</v>
      </c>
      <c r="J224">
        <v>19</v>
      </c>
      <c r="K224">
        <v>729.8</v>
      </c>
    </row>
    <row r="225" spans="1:11" x14ac:dyDescent="0.25">
      <c r="A225">
        <v>2020</v>
      </c>
      <c r="B225" s="1" t="s">
        <v>211</v>
      </c>
      <c r="C225" s="1" t="s">
        <v>212</v>
      </c>
      <c r="D225" s="1" t="s">
        <v>213</v>
      </c>
      <c r="E225">
        <v>1881</v>
      </c>
      <c r="F225" s="1" t="s">
        <v>95</v>
      </c>
      <c r="G225" s="1" t="s">
        <v>214</v>
      </c>
      <c r="H225">
        <v>1.81</v>
      </c>
      <c r="I225">
        <v>36</v>
      </c>
      <c r="J225">
        <v>5</v>
      </c>
      <c r="K225">
        <v>64.2</v>
      </c>
    </row>
    <row r="226" spans="1:11" x14ac:dyDescent="0.25">
      <c r="A226">
        <v>2021</v>
      </c>
      <c r="B226" s="1" t="s">
        <v>211</v>
      </c>
      <c r="C226" s="1" t="s">
        <v>212</v>
      </c>
      <c r="D226" s="1" t="s">
        <v>213</v>
      </c>
      <c r="E226">
        <v>1881</v>
      </c>
      <c r="F226" s="1" t="s">
        <v>95</v>
      </c>
      <c r="G226" s="1" t="s">
        <v>214</v>
      </c>
      <c r="H226">
        <v>2.84</v>
      </c>
      <c r="I226">
        <v>65</v>
      </c>
      <c r="J226">
        <v>9</v>
      </c>
      <c r="K226">
        <v>185.3</v>
      </c>
    </row>
    <row r="227" spans="1:11" x14ac:dyDescent="0.25">
      <c r="A227">
        <v>2022</v>
      </c>
      <c r="B227" s="1" t="s">
        <v>211</v>
      </c>
      <c r="C227" s="1" t="s">
        <v>212</v>
      </c>
      <c r="D227" s="1" t="s">
        <v>213</v>
      </c>
      <c r="E227">
        <v>1881</v>
      </c>
      <c r="F227" s="1" t="s">
        <v>95</v>
      </c>
      <c r="G227" s="1" t="s">
        <v>214</v>
      </c>
      <c r="H227">
        <v>4.5</v>
      </c>
      <c r="I227">
        <v>84</v>
      </c>
      <c r="J227">
        <v>12</v>
      </c>
      <c r="K227">
        <v>378.1</v>
      </c>
    </row>
    <row r="228" spans="1:11" x14ac:dyDescent="0.25">
      <c r="A228">
        <v>2023</v>
      </c>
      <c r="B228" s="1" t="s">
        <v>211</v>
      </c>
      <c r="C228" s="1" t="s">
        <v>212</v>
      </c>
      <c r="D228" s="1" t="s">
        <v>213</v>
      </c>
      <c r="E228">
        <v>1881</v>
      </c>
      <c r="F228" s="1" t="s">
        <v>95</v>
      </c>
      <c r="G228" s="1" t="s">
        <v>214</v>
      </c>
      <c r="H228">
        <v>5.77</v>
      </c>
      <c r="I228">
        <v>119</v>
      </c>
      <c r="J228">
        <v>14</v>
      </c>
      <c r="K228">
        <v>686.9</v>
      </c>
    </row>
    <row r="229" spans="1:11" x14ac:dyDescent="0.25">
      <c r="A229">
        <v>2024</v>
      </c>
      <c r="B229" s="1" t="s">
        <v>211</v>
      </c>
      <c r="C229" s="1" t="s">
        <v>212</v>
      </c>
      <c r="D229" s="1" t="s">
        <v>213</v>
      </c>
      <c r="E229">
        <v>1881</v>
      </c>
      <c r="F229" s="1" t="s">
        <v>95</v>
      </c>
      <c r="G229" s="1" t="s">
        <v>214</v>
      </c>
      <c r="H229">
        <v>6.55</v>
      </c>
      <c r="I229">
        <v>133</v>
      </c>
      <c r="J229">
        <v>18</v>
      </c>
      <c r="K229">
        <v>868.2</v>
      </c>
    </row>
    <row r="230" spans="1:11" x14ac:dyDescent="0.25">
      <c r="A230">
        <v>2025</v>
      </c>
      <c r="B230" s="1" t="s">
        <v>211</v>
      </c>
      <c r="C230" s="1" t="s">
        <v>212</v>
      </c>
      <c r="D230" s="1" t="s">
        <v>213</v>
      </c>
      <c r="E230">
        <v>1881</v>
      </c>
      <c r="F230" s="1" t="s">
        <v>95</v>
      </c>
      <c r="G230" s="1" t="s">
        <v>214</v>
      </c>
      <c r="H230">
        <v>6.79</v>
      </c>
      <c r="I230">
        <v>132</v>
      </c>
      <c r="J230">
        <v>19</v>
      </c>
      <c r="K230">
        <v>898.4</v>
      </c>
    </row>
    <row r="231" spans="1:11" x14ac:dyDescent="0.25">
      <c r="A231">
        <v>2026</v>
      </c>
      <c r="B231" s="1" t="s">
        <v>211</v>
      </c>
      <c r="C231" s="1" t="s">
        <v>212</v>
      </c>
      <c r="D231" s="1" t="s">
        <v>213</v>
      </c>
      <c r="E231">
        <v>1881</v>
      </c>
      <c r="F231" s="1" t="s">
        <v>95</v>
      </c>
      <c r="G231" s="1" t="s">
        <v>214</v>
      </c>
      <c r="H231">
        <v>6.74</v>
      </c>
      <c r="I231">
        <v>156</v>
      </c>
      <c r="J231">
        <v>21</v>
      </c>
      <c r="K231">
        <v>1052.3</v>
      </c>
    </row>
    <row r="232" spans="1:11" x14ac:dyDescent="0.25">
      <c r="A232">
        <v>2015</v>
      </c>
      <c r="B232" s="1" t="s">
        <v>215</v>
      </c>
      <c r="C232" s="1" t="s">
        <v>216</v>
      </c>
      <c r="D232" s="1" t="s">
        <v>217</v>
      </c>
      <c r="E232">
        <v>6182</v>
      </c>
      <c r="F232" s="1" t="s">
        <v>218</v>
      </c>
      <c r="G232" s="1" t="s">
        <v>219</v>
      </c>
      <c r="H232">
        <v>2.37</v>
      </c>
      <c r="I232">
        <v>265</v>
      </c>
      <c r="J232">
        <v>5</v>
      </c>
      <c r="K232">
        <v>628.1</v>
      </c>
    </row>
    <row r="233" spans="1:11" x14ac:dyDescent="0.25">
      <c r="A233">
        <v>2018</v>
      </c>
      <c r="B233" s="1" t="s">
        <v>215</v>
      </c>
      <c r="C233" s="1" t="s">
        <v>216</v>
      </c>
      <c r="D233" s="1" t="s">
        <v>217</v>
      </c>
      <c r="E233">
        <v>6182</v>
      </c>
      <c r="F233" s="1" t="s">
        <v>218</v>
      </c>
      <c r="G233" s="1" t="s">
        <v>219</v>
      </c>
      <c r="H233">
        <v>2.67</v>
      </c>
      <c r="I233">
        <v>270</v>
      </c>
      <c r="J233">
        <v>8</v>
      </c>
      <c r="K233">
        <v>721.2</v>
      </c>
    </row>
    <row r="234" spans="1:11" x14ac:dyDescent="0.25">
      <c r="A234">
        <v>2019</v>
      </c>
      <c r="B234" s="1" t="s">
        <v>215</v>
      </c>
      <c r="C234" s="1" t="s">
        <v>216</v>
      </c>
      <c r="D234" s="1" t="s">
        <v>217</v>
      </c>
      <c r="E234">
        <v>6182</v>
      </c>
      <c r="F234" s="1" t="s">
        <v>218</v>
      </c>
      <c r="G234" s="1" t="s">
        <v>219</v>
      </c>
      <c r="H234">
        <v>2.71</v>
      </c>
      <c r="I234">
        <v>306</v>
      </c>
      <c r="J234">
        <v>8</v>
      </c>
      <c r="K234">
        <v>831.1</v>
      </c>
    </row>
    <row r="235" spans="1:11" x14ac:dyDescent="0.25">
      <c r="A235">
        <v>2020</v>
      </c>
      <c r="B235" s="1" t="s">
        <v>215</v>
      </c>
      <c r="C235" s="1" t="s">
        <v>216</v>
      </c>
      <c r="D235" s="1" t="s">
        <v>217</v>
      </c>
      <c r="E235">
        <v>6182</v>
      </c>
      <c r="F235" s="1" t="s">
        <v>218</v>
      </c>
      <c r="G235" s="1" t="s">
        <v>219</v>
      </c>
      <c r="H235">
        <v>0.73</v>
      </c>
      <c r="I235">
        <v>90</v>
      </c>
      <c r="J235">
        <v>2</v>
      </c>
      <c r="K235">
        <v>65.5</v>
      </c>
    </row>
    <row r="236" spans="1:11" x14ac:dyDescent="0.25">
      <c r="A236">
        <v>2021</v>
      </c>
      <c r="B236" s="1" t="s">
        <v>215</v>
      </c>
      <c r="C236" s="1" t="s">
        <v>216</v>
      </c>
      <c r="D236" s="1" t="s">
        <v>217</v>
      </c>
      <c r="E236">
        <v>6182</v>
      </c>
      <c r="F236" s="1" t="s">
        <v>218</v>
      </c>
      <c r="G236" s="1" t="s">
        <v>219</v>
      </c>
      <c r="H236">
        <v>1.39</v>
      </c>
      <c r="I236">
        <v>148</v>
      </c>
      <c r="J236">
        <v>5</v>
      </c>
      <c r="K236">
        <v>205.9</v>
      </c>
    </row>
    <row r="237" spans="1:11" x14ac:dyDescent="0.25">
      <c r="A237">
        <v>2022</v>
      </c>
      <c r="B237" s="1" t="s">
        <v>215</v>
      </c>
      <c r="C237" s="1" t="s">
        <v>216</v>
      </c>
      <c r="D237" s="1" t="s">
        <v>217</v>
      </c>
      <c r="E237">
        <v>6182</v>
      </c>
      <c r="F237" s="1" t="s">
        <v>218</v>
      </c>
      <c r="G237" s="1" t="s">
        <v>219</v>
      </c>
      <c r="H237">
        <v>2.08</v>
      </c>
      <c r="I237">
        <v>229</v>
      </c>
      <c r="J237">
        <v>7</v>
      </c>
      <c r="K237">
        <v>475.9</v>
      </c>
    </row>
    <row r="238" spans="1:11" x14ac:dyDescent="0.25">
      <c r="A238">
        <v>2023</v>
      </c>
      <c r="B238" s="1" t="s">
        <v>215</v>
      </c>
      <c r="C238" s="1" t="s">
        <v>216</v>
      </c>
      <c r="D238" s="1" t="s">
        <v>217</v>
      </c>
      <c r="E238">
        <v>6182</v>
      </c>
      <c r="F238" s="1" t="s">
        <v>218</v>
      </c>
      <c r="G238" s="1" t="s">
        <v>219</v>
      </c>
      <c r="H238">
        <v>2.64</v>
      </c>
      <c r="I238">
        <v>268</v>
      </c>
      <c r="J238">
        <v>5</v>
      </c>
      <c r="K238">
        <v>706.2</v>
      </c>
    </row>
    <row r="239" spans="1:11" x14ac:dyDescent="0.25">
      <c r="A239">
        <v>2024</v>
      </c>
      <c r="B239" s="1" t="s">
        <v>215</v>
      </c>
      <c r="C239" s="1" t="s">
        <v>216</v>
      </c>
      <c r="D239" s="1" t="s">
        <v>217</v>
      </c>
      <c r="E239">
        <v>6182</v>
      </c>
      <c r="F239" s="1" t="s">
        <v>218</v>
      </c>
      <c r="G239" s="1" t="s">
        <v>219</v>
      </c>
      <c r="H239">
        <v>2.82</v>
      </c>
      <c r="I239">
        <v>327</v>
      </c>
      <c r="J239">
        <v>8</v>
      </c>
      <c r="K239">
        <v>921.5</v>
      </c>
    </row>
    <row r="240" spans="1:11" x14ac:dyDescent="0.25">
      <c r="A240">
        <v>2025</v>
      </c>
      <c r="B240" s="1" t="s">
        <v>215</v>
      </c>
      <c r="C240" s="1" t="s">
        <v>216</v>
      </c>
      <c r="D240" s="1" t="s">
        <v>217</v>
      </c>
      <c r="E240">
        <v>6182</v>
      </c>
      <c r="F240" s="1" t="s">
        <v>218</v>
      </c>
      <c r="G240" s="1" t="s">
        <v>219</v>
      </c>
      <c r="H240">
        <v>3.11</v>
      </c>
      <c r="I240">
        <v>330</v>
      </c>
      <c r="J240">
        <v>10</v>
      </c>
      <c r="K240">
        <v>1026</v>
      </c>
    </row>
    <row r="241" spans="1:11" x14ac:dyDescent="0.25">
      <c r="A241">
        <v>2026</v>
      </c>
      <c r="B241" s="1" t="s">
        <v>215</v>
      </c>
      <c r="C241" s="1" t="s">
        <v>216</v>
      </c>
      <c r="D241" s="1" t="s">
        <v>217</v>
      </c>
      <c r="E241">
        <v>6182</v>
      </c>
      <c r="F241" s="1" t="s">
        <v>218</v>
      </c>
      <c r="G241" s="1" t="s">
        <v>219</v>
      </c>
      <c r="H241">
        <v>3.03</v>
      </c>
      <c r="I241">
        <v>342</v>
      </c>
      <c r="J241">
        <v>9</v>
      </c>
      <c r="K241">
        <v>1037.7</v>
      </c>
    </row>
    <row r="242" spans="1:11" x14ac:dyDescent="0.25">
      <c r="A242">
        <v>2015</v>
      </c>
      <c r="B242" s="1" t="s">
        <v>220</v>
      </c>
      <c r="C242" s="1" t="s">
        <v>191</v>
      </c>
      <c r="D242" s="1" t="s">
        <v>143</v>
      </c>
      <c r="E242">
        <v>12057</v>
      </c>
      <c r="F242" s="1" t="s">
        <v>218</v>
      </c>
      <c r="G242" s="1" t="s">
        <v>221</v>
      </c>
      <c r="H242">
        <v>1.06</v>
      </c>
      <c r="I242">
        <v>440</v>
      </c>
      <c r="J242">
        <v>4</v>
      </c>
      <c r="K242">
        <v>465.9</v>
      </c>
    </row>
    <row r="243" spans="1:11" x14ac:dyDescent="0.25">
      <c r="A243">
        <v>2018</v>
      </c>
      <c r="B243" s="1" t="s">
        <v>220</v>
      </c>
      <c r="C243" s="1" t="s">
        <v>191</v>
      </c>
      <c r="D243" s="1" t="s">
        <v>143</v>
      </c>
      <c r="E243">
        <v>12057</v>
      </c>
      <c r="F243" s="1" t="s">
        <v>218</v>
      </c>
      <c r="G243" s="1" t="s">
        <v>221</v>
      </c>
      <c r="H243">
        <v>1.35</v>
      </c>
      <c r="I243">
        <v>513</v>
      </c>
      <c r="J243">
        <v>3</v>
      </c>
      <c r="K243">
        <v>691.2</v>
      </c>
    </row>
    <row r="244" spans="1:11" x14ac:dyDescent="0.25">
      <c r="A244">
        <v>2019</v>
      </c>
      <c r="B244" s="1" t="s">
        <v>220</v>
      </c>
      <c r="C244" s="1" t="s">
        <v>191</v>
      </c>
      <c r="D244" s="1" t="s">
        <v>143</v>
      </c>
      <c r="E244">
        <v>12057</v>
      </c>
      <c r="F244" s="1" t="s">
        <v>218</v>
      </c>
      <c r="G244" s="1" t="s">
        <v>221</v>
      </c>
      <c r="H244">
        <v>1.37</v>
      </c>
      <c r="I244">
        <v>561</v>
      </c>
      <c r="J244">
        <v>3</v>
      </c>
      <c r="K244">
        <v>770.6</v>
      </c>
    </row>
    <row r="245" spans="1:11" x14ac:dyDescent="0.25">
      <c r="A245">
        <v>2020</v>
      </c>
      <c r="B245" s="1" t="s">
        <v>220</v>
      </c>
      <c r="C245" s="1" t="s">
        <v>191</v>
      </c>
      <c r="D245" s="1" t="s">
        <v>143</v>
      </c>
      <c r="E245">
        <v>12057</v>
      </c>
      <c r="F245" s="1" t="s">
        <v>218</v>
      </c>
      <c r="G245" s="1" t="s">
        <v>221</v>
      </c>
      <c r="H245">
        <v>0.41</v>
      </c>
      <c r="I245">
        <v>171</v>
      </c>
      <c r="J245">
        <v>3</v>
      </c>
      <c r="K245">
        <v>69.5</v>
      </c>
    </row>
    <row r="246" spans="1:11" x14ac:dyDescent="0.25">
      <c r="A246">
        <v>2021</v>
      </c>
      <c r="B246" s="1" t="s">
        <v>220</v>
      </c>
      <c r="C246" s="1" t="s">
        <v>191</v>
      </c>
      <c r="D246" s="1" t="s">
        <v>143</v>
      </c>
      <c r="E246">
        <v>12057</v>
      </c>
      <c r="F246" s="1" t="s">
        <v>218</v>
      </c>
      <c r="G246" s="1" t="s">
        <v>221</v>
      </c>
      <c r="H246">
        <v>0.69</v>
      </c>
      <c r="I246">
        <v>267</v>
      </c>
      <c r="J246">
        <v>2</v>
      </c>
      <c r="K246">
        <v>183.2</v>
      </c>
    </row>
    <row r="247" spans="1:11" x14ac:dyDescent="0.25">
      <c r="A247">
        <v>2022</v>
      </c>
      <c r="B247" s="1" t="s">
        <v>220</v>
      </c>
      <c r="C247" s="1" t="s">
        <v>191</v>
      </c>
      <c r="D247" s="1" t="s">
        <v>143</v>
      </c>
      <c r="E247">
        <v>12057</v>
      </c>
      <c r="F247" s="1" t="s">
        <v>218</v>
      </c>
      <c r="G247" s="1" t="s">
        <v>221</v>
      </c>
      <c r="H247">
        <v>1.02</v>
      </c>
      <c r="I247">
        <v>396</v>
      </c>
      <c r="J247">
        <v>3</v>
      </c>
      <c r="K247">
        <v>405.3</v>
      </c>
    </row>
    <row r="248" spans="1:11" x14ac:dyDescent="0.25">
      <c r="A248">
        <v>2023</v>
      </c>
      <c r="B248" s="1" t="s">
        <v>220</v>
      </c>
      <c r="C248" s="1" t="s">
        <v>191</v>
      </c>
      <c r="D248" s="1" t="s">
        <v>143</v>
      </c>
      <c r="E248">
        <v>12057</v>
      </c>
      <c r="F248" s="1" t="s">
        <v>218</v>
      </c>
      <c r="G248" s="1" t="s">
        <v>221</v>
      </c>
      <c r="H248">
        <v>1.21</v>
      </c>
      <c r="I248">
        <v>547</v>
      </c>
      <c r="J248">
        <v>2</v>
      </c>
      <c r="K248">
        <v>663.6</v>
      </c>
    </row>
    <row r="249" spans="1:11" x14ac:dyDescent="0.25">
      <c r="A249">
        <v>2024</v>
      </c>
      <c r="B249" s="1" t="s">
        <v>220</v>
      </c>
      <c r="C249" s="1" t="s">
        <v>191</v>
      </c>
      <c r="D249" s="1" t="s">
        <v>143</v>
      </c>
      <c r="E249">
        <v>12057</v>
      </c>
      <c r="F249" s="1" t="s">
        <v>218</v>
      </c>
      <c r="G249" s="1" t="s">
        <v>221</v>
      </c>
      <c r="H249">
        <v>1.38</v>
      </c>
      <c r="I249">
        <v>562</v>
      </c>
      <c r="J249">
        <v>6</v>
      </c>
      <c r="K249">
        <v>773.5</v>
      </c>
    </row>
    <row r="250" spans="1:11" x14ac:dyDescent="0.25">
      <c r="A250">
        <v>2025</v>
      </c>
      <c r="B250" s="1" t="s">
        <v>220</v>
      </c>
      <c r="C250" s="1" t="s">
        <v>191</v>
      </c>
      <c r="D250" s="1" t="s">
        <v>143</v>
      </c>
      <c r="E250">
        <v>12057</v>
      </c>
      <c r="F250" s="1" t="s">
        <v>218</v>
      </c>
      <c r="G250" s="1" t="s">
        <v>221</v>
      </c>
      <c r="H250">
        <v>1.44</v>
      </c>
      <c r="I250">
        <v>563</v>
      </c>
      <c r="J250">
        <v>3</v>
      </c>
      <c r="K250">
        <v>811.2</v>
      </c>
    </row>
    <row r="251" spans="1:11" x14ac:dyDescent="0.25">
      <c r="A251">
        <v>2026</v>
      </c>
      <c r="B251" s="1" t="s">
        <v>220</v>
      </c>
      <c r="C251" s="1" t="s">
        <v>191</v>
      </c>
      <c r="D251" s="1" t="s">
        <v>143</v>
      </c>
      <c r="E251">
        <v>12057</v>
      </c>
      <c r="F251" s="1" t="s">
        <v>218</v>
      </c>
      <c r="G251" s="1" t="s">
        <v>221</v>
      </c>
      <c r="H251">
        <v>1.6</v>
      </c>
      <c r="I251">
        <v>504</v>
      </c>
      <c r="J251">
        <v>3</v>
      </c>
      <c r="K251">
        <v>803.5</v>
      </c>
    </row>
    <row r="252" spans="1:11" x14ac:dyDescent="0.25">
      <c r="A252">
        <v>2015</v>
      </c>
      <c r="B252" s="1" t="s">
        <v>222</v>
      </c>
      <c r="C252" s="1" t="s">
        <v>68</v>
      </c>
      <c r="D252" s="1" t="s">
        <v>223</v>
      </c>
      <c r="E252">
        <v>11129</v>
      </c>
      <c r="F252" s="1" t="s">
        <v>218</v>
      </c>
      <c r="G252" s="1" t="s">
        <v>224</v>
      </c>
      <c r="H252">
        <v>1.71</v>
      </c>
      <c r="I252">
        <v>394</v>
      </c>
      <c r="J252">
        <v>5</v>
      </c>
      <c r="K252">
        <v>674.1</v>
      </c>
    </row>
    <row r="253" spans="1:11" x14ac:dyDescent="0.25">
      <c r="A253">
        <v>2018</v>
      </c>
      <c r="B253" s="1" t="s">
        <v>222</v>
      </c>
      <c r="C253" s="1" t="s">
        <v>68</v>
      </c>
      <c r="D253" s="1" t="s">
        <v>223</v>
      </c>
      <c r="E253">
        <v>11129</v>
      </c>
      <c r="F253" s="1" t="s">
        <v>218</v>
      </c>
      <c r="G253" s="1" t="s">
        <v>224</v>
      </c>
      <c r="H253">
        <v>1.87</v>
      </c>
      <c r="I253">
        <v>495</v>
      </c>
      <c r="J253">
        <v>7</v>
      </c>
      <c r="K253">
        <v>927</v>
      </c>
    </row>
    <row r="254" spans="1:11" x14ac:dyDescent="0.25">
      <c r="A254">
        <v>2019</v>
      </c>
      <c r="B254" s="1" t="s">
        <v>222</v>
      </c>
      <c r="C254" s="1" t="s">
        <v>68</v>
      </c>
      <c r="D254" s="1" t="s">
        <v>223</v>
      </c>
      <c r="E254">
        <v>11129</v>
      </c>
      <c r="F254" s="1" t="s">
        <v>218</v>
      </c>
      <c r="G254" s="1" t="s">
        <v>224</v>
      </c>
      <c r="H254">
        <v>2</v>
      </c>
      <c r="I254">
        <v>479</v>
      </c>
      <c r="J254">
        <v>6</v>
      </c>
      <c r="K254">
        <v>957.5</v>
      </c>
    </row>
    <row r="255" spans="1:11" x14ac:dyDescent="0.25">
      <c r="A255">
        <v>2020</v>
      </c>
      <c r="B255" s="1" t="s">
        <v>222</v>
      </c>
      <c r="C255" s="1" t="s">
        <v>68</v>
      </c>
      <c r="D255" s="1" t="s">
        <v>223</v>
      </c>
      <c r="E255">
        <v>11129</v>
      </c>
      <c r="F255" s="1" t="s">
        <v>218</v>
      </c>
      <c r="G255" s="1" t="s">
        <v>224</v>
      </c>
      <c r="H255">
        <v>0.56999999999999995</v>
      </c>
      <c r="I255">
        <v>140</v>
      </c>
      <c r="J255">
        <v>1</v>
      </c>
      <c r="K255">
        <v>80.099999999999994</v>
      </c>
    </row>
    <row r="256" spans="1:11" x14ac:dyDescent="0.25">
      <c r="A256">
        <v>2021</v>
      </c>
      <c r="B256" s="1" t="s">
        <v>222</v>
      </c>
      <c r="C256" s="1" t="s">
        <v>68</v>
      </c>
      <c r="D256" s="1" t="s">
        <v>223</v>
      </c>
      <c r="E256">
        <v>11129</v>
      </c>
      <c r="F256" s="1" t="s">
        <v>218</v>
      </c>
      <c r="G256" s="1" t="s">
        <v>224</v>
      </c>
      <c r="H256">
        <v>0.92</v>
      </c>
      <c r="I256">
        <v>235</v>
      </c>
      <c r="J256">
        <v>1</v>
      </c>
      <c r="K256">
        <v>216.7</v>
      </c>
    </row>
    <row r="257" spans="1:11" x14ac:dyDescent="0.25">
      <c r="A257">
        <v>2022</v>
      </c>
      <c r="B257" s="1" t="s">
        <v>222</v>
      </c>
      <c r="C257" s="1" t="s">
        <v>68</v>
      </c>
      <c r="D257" s="1" t="s">
        <v>223</v>
      </c>
      <c r="E257">
        <v>11129</v>
      </c>
      <c r="F257" s="1" t="s">
        <v>218</v>
      </c>
      <c r="G257" s="1" t="s">
        <v>224</v>
      </c>
      <c r="H257">
        <v>1.49</v>
      </c>
      <c r="I257">
        <v>346</v>
      </c>
      <c r="J257">
        <v>1</v>
      </c>
      <c r="K257">
        <v>516.1</v>
      </c>
    </row>
    <row r="258" spans="1:11" x14ac:dyDescent="0.25">
      <c r="A258">
        <v>2023</v>
      </c>
      <c r="B258" s="1" t="s">
        <v>222</v>
      </c>
      <c r="C258" s="1" t="s">
        <v>68</v>
      </c>
      <c r="D258" s="1" t="s">
        <v>223</v>
      </c>
      <c r="E258">
        <v>11129</v>
      </c>
      <c r="F258" s="1" t="s">
        <v>218</v>
      </c>
      <c r="G258" s="1" t="s">
        <v>224</v>
      </c>
      <c r="H258">
        <v>1.79</v>
      </c>
      <c r="I258">
        <v>457</v>
      </c>
      <c r="J258">
        <v>4</v>
      </c>
      <c r="K258">
        <v>819.3</v>
      </c>
    </row>
    <row r="259" spans="1:11" x14ac:dyDescent="0.25">
      <c r="A259">
        <v>2024</v>
      </c>
      <c r="B259" s="1" t="s">
        <v>222</v>
      </c>
      <c r="C259" s="1" t="s">
        <v>68</v>
      </c>
      <c r="D259" s="1" t="s">
        <v>223</v>
      </c>
      <c r="E259">
        <v>11129</v>
      </c>
      <c r="F259" s="1" t="s">
        <v>218</v>
      </c>
      <c r="G259" s="1" t="s">
        <v>224</v>
      </c>
      <c r="H259">
        <v>2.19</v>
      </c>
      <c r="I259">
        <v>501</v>
      </c>
      <c r="J259">
        <v>7</v>
      </c>
      <c r="K259">
        <v>1099.5999999999999</v>
      </c>
    </row>
    <row r="260" spans="1:11" x14ac:dyDescent="0.25">
      <c r="A260">
        <v>2025</v>
      </c>
      <c r="B260" s="1" t="s">
        <v>222</v>
      </c>
      <c r="C260" s="1" t="s">
        <v>68</v>
      </c>
      <c r="D260" s="1" t="s">
        <v>223</v>
      </c>
      <c r="E260">
        <v>11129</v>
      </c>
      <c r="F260" s="1" t="s">
        <v>218</v>
      </c>
      <c r="G260" s="1" t="s">
        <v>224</v>
      </c>
      <c r="H260">
        <v>2.16</v>
      </c>
      <c r="I260">
        <v>543</v>
      </c>
      <c r="J260">
        <v>5</v>
      </c>
      <c r="K260">
        <v>1174.3</v>
      </c>
    </row>
    <row r="261" spans="1:11" x14ac:dyDescent="0.25">
      <c r="A261">
        <v>2026</v>
      </c>
      <c r="B261" s="1" t="s">
        <v>222</v>
      </c>
      <c r="C261" s="1" t="s">
        <v>68</v>
      </c>
      <c r="D261" s="1" t="s">
        <v>223</v>
      </c>
      <c r="E261">
        <v>11129</v>
      </c>
      <c r="F261" s="1" t="s">
        <v>218</v>
      </c>
      <c r="G261" s="1" t="s">
        <v>224</v>
      </c>
      <c r="H261">
        <v>2.2000000000000002</v>
      </c>
      <c r="I261">
        <v>530</v>
      </c>
      <c r="J261">
        <v>6</v>
      </c>
      <c r="K261">
        <v>1163.9000000000001</v>
      </c>
    </row>
    <row r="262" spans="1:11" x14ac:dyDescent="0.25">
      <c r="A262">
        <v>2015</v>
      </c>
      <c r="B262" s="1" t="s">
        <v>225</v>
      </c>
      <c r="C262" s="1" t="s">
        <v>226</v>
      </c>
      <c r="D262" s="1" t="s">
        <v>191</v>
      </c>
      <c r="E262">
        <v>9572</v>
      </c>
      <c r="F262" s="1" t="s">
        <v>218</v>
      </c>
      <c r="G262" s="1" t="s">
        <v>227</v>
      </c>
      <c r="H262">
        <v>1.46</v>
      </c>
      <c r="I262">
        <v>391</v>
      </c>
      <c r="J262">
        <v>4</v>
      </c>
      <c r="K262">
        <v>570.1</v>
      </c>
    </row>
    <row r="263" spans="1:11" x14ac:dyDescent="0.25">
      <c r="A263">
        <v>2018</v>
      </c>
      <c r="B263" s="1" t="s">
        <v>225</v>
      </c>
      <c r="C263" s="1" t="s">
        <v>226</v>
      </c>
      <c r="D263" s="1" t="s">
        <v>191</v>
      </c>
      <c r="E263">
        <v>9572</v>
      </c>
      <c r="F263" s="1" t="s">
        <v>218</v>
      </c>
      <c r="G263" s="1" t="s">
        <v>227</v>
      </c>
      <c r="H263">
        <v>1.66</v>
      </c>
      <c r="I263">
        <v>415</v>
      </c>
      <c r="J263">
        <v>4</v>
      </c>
      <c r="K263">
        <v>690.4</v>
      </c>
    </row>
    <row r="264" spans="1:11" x14ac:dyDescent="0.25">
      <c r="A264">
        <v>2019</v>
      </c>
      <c r="B264" s="1" t="s">
        <v>225</v>
      </c>
      <c r="C264" s="1" t="s">
        <v>226</v>
      </c>
      <c r="D264" s="1" t="s">
        <v>191</v>
      </c>
      <c r="E264">
        <v>9572</v>
      </c>
      <c r="F264" s="1" t="s">
        <v>218</v>
      </c>
      <c r="G264" s="1" t="s">
        <v>227</v>
      </c>
      <c r="H264">
        <v>1.72</v>
      </c>
      <c r="I264">
        <v>435</v>
      </c>
      <c r="J264">
        <v>4</v>
      </c>
      <c r="K264">
        <v>748.9</v>
      </c>
    </row>
    <row r="265" spans="1:11" x14ac:dyDescent="0.25">
      <c r="A265">
        <v>2020</v>
      </c>
      <c r="B265" s="1" t="s">
        <v>225</v>
      </c>
      <c r="C265" s="1" t="s">
        <v>226</v>
      </c>
      <c r="D265" s="1" t="s">
        <v>191</v>
      </c>
      <c r="E265">
        <v>9572</v>
      </c>
      <c r="F265" s="1" t="s">
        <v>218</v>
      </c>
      <c r="G265" s="1" t="s">
        <v>227</v>
      </c>
      <c r="H265">
        <v>0.52</v>
      </c>
      <c r="I265">
        <v>118</v>
      </c>
      <c r="J265">
        <v>1</v>
      </c>
      <c r="K265">
        <v>60.7</v>
      </c>
    </row>
    <row r="266" spans="1:11" x14ac:dyDescent="0.25">
      <c r="A266">
        <v>2021</v>
      </c>
      <c r="B266" s="1" t="s">
        <v>225</v>
      </c>
      <c r="C266" s="1" t="s">
        <v>226</v>
      </c>
      <c r="D266" s="1" t="s">
        <v>191</v>
      </c>
      <c r="E266">
        <v>9572</v>
      </c>
      <c r="F266" s="1" t="s">
        <v>218</v>
      </c>
      <c r="G266" s="1" t="s">
        <v>227</v>
      </c>
      <c r="H266">
        <v>0.91</v>
      </c>
      <c r="I266">
        <v>208</v>
      </c>
      <c r="J266">
        <v>5</v>
      </c>
      <c r="K266">
        <v>189.4</v>
      </c>
    </row>
    <row r="267" spans="1:11" x14ac:dyDescent="0.25">
      <c r="A267">
        <v>2022</v>
      </c>
      <c r="B267" s="1" t="s">
        <v>225</v>
      </c>
      <c r="C267" s="1" t="s">
        <v>226</v>
      </c>
      <c r="D267" s="1" t="s">
        <v>191</v>
      </c>
      <c r="E267">
        <v>9572</v>
      </c>
      <c r="F267" s="1" t="s">
        <v>218</v>
      </c>
      <c r="G267" s="1" t="s">
        <v>227</v>
      </c>
      <c r="H267">
        <v>1.39</v>
      </c>
      <c r="I267">
        <v>351</v>
      </c>
      <c r="J267">
        <v>4</v>
      </c>
      <c r="K267">
        <v>486.6</v>
      </c>
    </row>
    <row r="268" spans="1:11" x14ac:dyDescent="0.25">
      <c r="A268">
        <v>2023</v>
      </c>
      <c r="B268" s="1" t="s">
        <v>225</v>
      </c>
      <c r="C268" s="1" t="s">
        <v>226</v>
      </c>
      <c r="D268" s="1" t="s">
        <v>191</v>
      </c>
      <c r="E268">
        <v>9572</v>
      </c>
      <c r="F268" s="1" t="s">
        <v>218</v>
      </c>
      <c r="G268" s="1" t="s">
        <v>227</v>
      </c>
      <c r="H268">
        <v>1.82</v>
      </c>
      <c r="I268">
        <v>392</v>
      </c>
      <c r="J268">
        <v>2</v>
      </c>
      <c r="K268">
        <v>715.8</v>
      </c>
    </row>
    <row r="269" spans="1:11" x14ac:dyDescent="0.25">
      <c r="A269">
        <v>2024</v>
      </c>
      <c r="B269" s="1" t="s">
        <v>225</v>
      </c>
      <c r="C269" s="1" t="s">
        <v>226</v>
      </c>
      <c r="D269" s="1" t="s">
        <v>191</v>
      </c>
      <c r="E269">
        <v>9572</v>
      </c>
      <c r="F269" s="1" t="s">
        <v>218</v>
      </c>
      <c r="G269" s="1" t="s">
        <v>227</v>
      </c>
      <c r="H269">
        <v>1.84</v>
      </c>
      <c r="I269">
        <v>470</v>
      </c>
      <c r="J269">
        <v>5</v>
      </c>
      <c r="K269">
        <v>864.6</v>
      </c>
    </row>
    <row r="270" spans="1:11" x14ac:dyDescent="0.25">
      <c r="A270">
        <v>2025</v>
      </c>
      <c r="B270" s="1" t="s">
        <v>225</v>
      </c>
      <c r="C270" s="1" t="s">
        <v>226</v>
      </c>
      <c r="D270" s="1" t="s">
        <v>191</v>
      </c>
      <c r="E270">
        <v>9572</v>
      </c>
      <c r="F270" s="1" t="s">
        <v>218</v>
      </c>
      <c r="G270" s="1" t="s">
        <v>227</v>
      </c>
      <c r="H270">
        <v>1.98</v>
      </c>
      <c r="I270">
        <v>515</v>
      </c>
      <c r="J270">
        <v>6</v>
      </c>
      <c r="K270">
        <v>1022.4</v>
      </c>
    </row>
    <row r="271" spans="1:11" x14ac:dyDescent="0.25">
      <c r="A271">
        <v>2026</v>
      </c>
      <c r="B271" s="1" t="s">
        <v>225</v>
      </c>
      <c r="C271" s="1" t="s">
        <v>226</v>
      </c>
      <c r="D271" s="1" t="s">
        <v>191</v>
      </c>
      <c r="E271">
        <v>9572</v>
      </c>
      <c r="F271" s="1" t="s">
        <v>218</v>
      </c>
      <c r="G271" s="1" t="s">
        <v>227</v>
      </c>
      <c r="H271">
        <v>2.06</v>
      </c>
      <c r="I271">
        <v>458</v>
      </c>
      <c r="J271">
        <v>5</v>
      </c>
      <c r="K271">
        <v>945.1</v>
      </c>
    </row>
    <row r="272" spans="1:11" x14ac:dyDescent="0.25">
      <c r="A272">
        <v>2015</v>
      </c>
      <c r="B272" s="1" t="s">
        <v>228</v>
      </c>
      <c r="C272" s="1" t="s">
        <v>229</v>
      </c>
      <c r="D272" s="1" t="s">
        <v>163</v>
      </c>
      <c r="E272">
        <v>9070</v>
      </c>
      <c r="F272" s="1" t="s">
        <v>230</v>
      </c>
      <c r="G272" s="1" t="s">
        <v>231</v>
      </c>
      <c r="H272">
        <v>1.85</v>
      </c>
      <c r="I272">
        <v>338</v>
      </c>
      <c r="J272">
        <v>4</v>
      </c>
      <c r="K272">
        <v>625.79999999999995</v>
      </c>
    </row>
    <row r="273" spans="1:11" x14ac:dyDescent="0.25">
      <c r="A273">
        <v>2018</v>
      </c>
      <c r="B273" s="1" t="s">
        <v>228</v>
      </c>
      <c r="C273" s="1" t="s">
        <v>229</v>
      </c>
      <c r="D273" s="1" t="s">
        <v>163</v>
      </c>
      <c r="E273">
        <v>9070</v>
      </c>
      <c r="F273" s="1" t="s">
        <v>230</v>
      </c>
      <c r="G273" s="1" t="s">
        <v>231</v>
      </c>
      <c r="H273">
        <v>2.0099999999999998</v>
      </c>
      <c r="I273">
        <v>376</v>
      </c>
      <c r="J273">
        <v>4</v>
      </c>
      <c r="K273">
        <v>754.8</v>
      </c>
    </row>
    <row r="274" spans="1:11" x14ac:dyDescent="0.25">
      <c r="A274">
        <v>2019</v>
      </c>
      <c r="B274" s="1" t="s">
        <v>228</v>
      </c>
      <c r="C274" s="1" t="s">
        <v>229</v>
      </c>
      <c r="D274" s="1" t="s">
        <v>163</v>
      </c>
      <c r="E274">
        <v>9070</v>
      </c>
      <c r="F274" s="1" t="s">
        <v>230</v>
      </c>
      <c r="G274" s="1" t="s">
        <v>231</v>
      </c>
      <c r="H274">
        <v>2.04</v>
      </c>
      <c r="I274">
        <v>408</v>
      </c>
      <c r="J274">
        <v>5</v>
      </c>
      <c r="K274">
        <v>833.6</v>
      </c>
    </row>
    <row r="275" spans="1:11" x14ac:dyDescent="0.25">
      <c r="A275">
        <v>2020</v>
      </c>
      <c r="B275" s="1" t="s">
        <v>228</v>
      </c>
      <c r="C275" s="1" t="s">
        <v>229</v>
      </c>
      <c r="D275" s="1" t="s">
        <v>163</v>
      </c>
      <c r="E275">
        <v>9070</v>
      </c>
      <c r="F275" s="1" t="s">
        <v>230</v>
      </c>
      <c r="G275" s="1" t="s">
        <v>231</v>
      </c>
      <c r="H275">
        <v>0.68</v>
      </c>
      <c r="I275">
        <v>126</v>
      </c>
      <c r="J275">
        <v>2</v>
      </c>
      <c r="K275">
        <v>85.7</v>
      </c>
    </row>
    <row r="276" spans="1:11" x14ac:dyDescent="0.25">
      <c r="A276">
        <v>2021</v>
      </c>
      <c r="B276" s="1" t="s">
        <v>228</v>
      </c>
      <c r="C276" s="1" t="s">
        <v>229</v>
      </c>
      <c r="D276" s="1" t="s">
        <v>163</v>
      </c>
      <c r="E276">
        <v>9070</v>
      </c>
      <c r="F276" s="1" t="s">
        <v>230</v>
      </c>
      <c r="G276" s="1" t="s">
        <v>231</v>
      </c>
      <c r="H276">
        <v>1.05</v>
      </c>
      <c r="I276">
        <v>205</v>
      </c>
      <c r="J276">
        <v>3</v>
      </c>
      <c r="K276">
        <v>215.8</v>
      </c>
    </row>
    <row r="277" spans="1:11" x14ac:dyDescent="0.25">
      <c r="A277">
        <v>2022</v>
      </c>
      <c r="B277" s="1" t="s">
        <v>228</v>
      </c>
      <c r="C277" s="1" t="s">
        <v>229</v>
      </c>
      <c r="D277" s="1" t="s">
        <v>163</v>
      </c>
      <c r="E277">
        <v>9070</v>
      </c>
      <c r="F277" s="1" t="s">
        <v>230</v>
      </c>
      <c r="G277" s="1" t="s">
        <v>231</v>
      </c>
      <c r="H277">
        <v>1.67</v>
      </c>
      <c r="I277">
        <v>308</v>
      </c>
      <c r="J277">
        <v>6</v>
      </c>
      <c r="K277">
        <v>515.5</v>
      </c>
    </row>
    <row r="278" spans="1:11" x14ac:dyDescent="0.25">
      <c r="A278">
        <v>2023</v>
      </c>
      <c r="B278" s="1" t="s">
        <v>228</v>
      </c>
      <c r="C278" s="1" t="s">
        <v>229</v>
      </c>
      <c r="D278" s="1" t="s">
        <v>163</v>
      </c>
      <c r="E278">
        <v>9070</v>
      </c>
      <c r="F278" s="1" t="s">
        <v>230</v>
      </c>
      <c r="G278" s="1" t="s">
        <v>231</v>
      </c>
      <c r="H278">
        <v>2.06</v>
      </c>
      <c r="I278">
        <v>411</v>
      </c>
      <c r="J278">
        <v>5</v>
      </c>
      <c r="K278">
        <v>847.9</v>
      </c>
    </row>
    <row r="279" spans="1:11" x14ac:dyDescent="0.25">
      <c r="A279">
        <v>2024</v>
      </c>
      <c r="B279" s="1" t="s">
        <v>228</v>
      </c>
      <c r="C279" s="1" t="s">
        <v>229</v>
      </c>
      <c r="D279" s="1" t="s">
        <v>163</v>
      </c>
      <c r="E279">
        <v>9070</v>
      </c>
      <c r="F279" s="1" t="s">
        <v>230</v>
      </c>
      <c r="G279" s="1" t="s">
        <v>231</v>
      </c>
      <c r="H279">
        <v>2.12</v>
      </c>
      <c r="I279">
        <v>440</v>
      </c>
      <c r="J279">
        <v>7</v>
      </c>
      <c r="K279">
        <v>933.2</v>
      </c>
    </row>
    <row r="280" spans="1:11" x14ac:dyDescent="0.25">
      <c r="A280">
        <v>2025</v>
      </c>
      <c r="B280" s="1" t="s">
        <v>228</v>
      </c>
      <c r="C280" s="1" t="s">
        <v>229</v>
      </c>
      <c r="D280" s="1" t="s">
        <v>163</v>
      </c>
      <c r="E280">
        <v>9070</v>
      </c>
      <c r="F280" s="1" t="s">
        <v>230</v>
      </c>
      <c r="G280" s="1" t="s">
        <v>231</v>
      </c>
      <c r="H280">
        <v>2.44</v>
      </c>
      <c r="I280">
        <v>466</v>
      </c>
      <c r="J280">
        <v>6</v>
      </c>
      <c r="K280">
        <v>1137.3</v>
      </c>
    </row>
    <row r="281" spans="1:11" x14ac:dyDescent="0.25">
      <c r="A281">
        <v>2026</v>
      </c>
      <c r="B281" s="1" t="s">
        <v>228</v>
      </c>
      <c r="C281" s="1" t="s">
        <v>229</v>
      </c>
      <c r="D281" s="1" t="s">
        <v>163</v>
      </c>
      <c r="E281">
        <v>9070</v>
      </c>
      <c r="F281" s="1" t="s">
        <v>230</v>
      </c>
      <c r="G281" s="1" t="s">
        <v>231</v>
      </c>
      <c r="H281">
        <v>2.35</v>
      </c>
      <c r="I281">
        <v>478</v>
      </c>
      <c r="J281">
        <v>7</v>
      </c>
      <c r="K281">
        <v>1124.4000000000001</v>
      </c>
    </row>
    <row r="282" spans="1:11" x14ac:dyDescent="0.25">
      <c r="A282">
        <v>2015</v>
      </c>
      <c r="B282" s="1" t="s">
        <v>232</v>
      </c>
      <c r="C282" s="1" t="s">
        <v>233</v>
      </c>
      <c r="D282" s="1" t="s">
        <v>234</v>
      </c>
      <c r="E282">
        <v>1304</v>
      </c>
      <c r="F282" s="1" t="s">
        <v>235</v>
      </c>
      <c r="G282" s="1" t="s">
        <v>236</v>
      </c>
      <c r="H282">
        <v>9.93</v>
      </c>
      <c r="I282">
        <v>82</v>
      </c>
      <c r="J282">
        <v>29</v>
      </c>
      <c r="K282">
        <v>818.2</v>
      </c>
    </row>
    <row r="283" spans="1:11" x14ac:dyDescent="0.25">
      <c r="A283">
        <v>2018</v>
      </c>
      <c r="B283" s="1" t="s">
        <v>232</v>
      </c>
      <c r="C283" s="1" t="s">
        <v>233</v>
      </c>
      <c r="D283" s="1" t="s">
        <v>234</v>
      </c>
      <c r="E283">
        <v>1304</v>
      </c>
      <c r="F283" s="1" t="s">
        <v>235</v>
      </c>
      <c r="G283" s="1" t="s">
        <v>236</v>
      </c>
      <c r="H283">
        <v>11.34</v>
      </c>
      <c r="I283">
        <v>102</v>
      </c>
      <c r="J283">
        <v>33</v>
      </c>
      <c r="K283">
        <v>1159.5</v>
      </c>
    </row>
    <row r="284" spans="1:11" x14ac:dyDescent="0.25">
      <c r="A284">
        <v>2019</v>
      </c>
      <c r="B284" s="1" t="s">
        <v>232</v>
      </c>
      <c r="C284" s="1" t="s">
        <v>233</v>
      </c>
      <c r="D284" s="1" t="s">
        <v>234</v>
      </c>
      <c r="E284">
        <v>1304</v>
      </c>
      <c r="F284" s="1" t="s">
        <v>235</v>
      </c>
      <c r="G284" s="1" t="s">
        <v>236</v>
      </c>
      <c r="H284">
        <v>11.31</v>
      </c>
      <c r="I284">
        <v>103</v>
      </c>
      <c r="J284">
        <v>31</v>
      </c>
      <c r="K284">
        <v>1166.2</v>
      </c>
    </row>
    <row r="285" spans="1:11" x14ac:dyDescent="0.25">
      <c r="A285">
        <v>2020</v>
      </c>
      <c r="B285" s="1" t="s">
        <v>232</v>
      </c>
      <c r="C285" s="1" t="s">
        <v>233</v>
      </c>
      <c r="D285" s="1" t="s">
        <v>234</v>
      </c>
      <c r="E285">
        <v>1304</v>
      </c>
      <c r="F285" s="1" t="s">
        <v>235</v>
      </c>
      <c r="G285" s="1" t="s">
        <v>236</v>
      </c>
      <c r="H285">
        <v>3.23</v>
      </c>
      <c r="I285">
        <v>31</v>
      </c>
      <c r="J285">
        <v>9</v>
      </c>
      <c r="K285">
        <v>98.8</v>
      </c>
    </row>
    <row r="286" spans="1:11" x14ac:dyDescent="0.25">
      <c r="A286">
        <v>2021</v>
      </c>
      <c r="B286" s="1" t="s">
        <v>232</v>
      </c>
      <c r="C286" s="1" t="s">
        <v>233</v>
      </c>
      <c r="D286" s="1" t="s">
        <v>234</v>
      </c>
      <c r="E286">
        <v>1304</v>
      </c>
      <c r="F286" s="1" t="s">
        <v>235</v>
      </c>
      <c r="G286" s="1" t="s">
        <v>236</v>
      </c>
      <c r="H286">
        <v>5.65</v>
      </c>
      <c r="I286">
        <v>55</v>
      </c>
      <c r="J286">
        <v>16</v>
      </c>
      <c r="K286">
        <v>308.60000000000002</v>
      </c>
    </row>
    <row r="287" spans="1:11" x14ac:dyDescent="0.25">
      <c r="A287">
        <v>2022</v>
      </c>
      <c r="B287" s="1" t="s">
        <v>232</v>
      </c>
      <c r="C287" s="1" t="s">
        <v>233</v>
      </c>
      <c r="D287" s="1" t="s">
        <v>234</v>
      </c>
      <c r="E287">
        <v>1304</v>
      </c>
      <c r="F287" s="1" t="s">
        <v>235</v>
      </c>
      <c r="G287" s="1" t="s">
        <v>236</v>
      </c>
      <c r="H287">
        <v>8.0399999999999991</v>
      </c>
      <c r="I287">
        <v>78</v>
      </c>
      <c r="J287">
        <v>23</v>
      </c>
      <c r="K287">
        <v>628</v>
      </c>
    </row>
    <row r="288" spans="1:11" x14ac:dyDescent="0.25">
      <c r="A288">
        <v>2023</v>
      </c>
      <c r="B288" s="1" t="s">
        <v>232</v>
      </c>
      <c r="C288" s="1" t="s">
        <v>233</v>
      </c>
      <c r="D288" s="1" t="s">
        <v>234</v>
      </c>
      <c r="E288">
        <v>1304</v>
      </c>
      <c r="F288" s="1" t="s">
        <v>235</v>
      </c>
      <c r="G288" s="1" t="s">
        <v>236</v>
      </c>
      <c r="H288">
        <v>10.56</v>
      </c>
      <c r="I288">
        <v>95</v>
      </c>
      <c r="J288">
        <v>33</v>
      </c>
      <c r="K288">
        <v>1006.7</v>
      </c>
    </row>
    <row r="289" spans="1:11" x14ac:dyDescent="0.25">
      <c r="A289">
        <v>2024</v>
      </c>
      <c r="B289" s="1" t="s">
        <v>232</v>
      </c>
      <c r="C289" s="1" t="s">
        <v>233</v>
      </c>
      <c r="D289" s="1" t="s">
        <v>234</v>
      </c>
      <c r="E289">
        <v>1304</v>
      </c>
      <c r="F289" s="1" t="s">
        <v>235</v>
      </c>
      <c r="G289" s="1" t="s">
        <v>236</v>
      </c>
      <c r="H289">
        <v>10.73</v>
      </c>
      <c r="I289">
        <v>105</v>
      </c>
      <c r="J289">
        <v>32</v>
      </c>
      <c r="K289">
        <v>1124.8</v>
      </c>
    </row>
    <row r="290" spans="1:11" x14ac:dyDescent="0.25">
      <c r="A290">
        <v>2025</v>
      </c>
      <c r="B290" s="1" t="s">
        <v>232</v>
      </c>
      <c r="C290" s="1" t="s">
        <v>233</v>
      </c>
      <c r="D290" s="1" t="s">
        <v>234</v>
      </c>
      <c r="E290">
        <v>1304</v>
      </c>
      <c r="F290" s="1" t="s">
        <v>235</v>
      </c>
      <c r="G290" s="1" t="s">
        <v>236</v>
      </c>
      <c r="H290">
        <v>11.92</v>
      </c>
      <c r="I290">
        <v>119</v>
      </c>
      <c r="J290">
        <v>36</v>
      </c>
      <c r="K290">
        <v>1413.9</v>
      </c>
    </row>
    <row r="291" spans="1:11" x14ac:dyDescent="0.25">
      <c r="A291">
        <v>2026</v>
      </c>
      <c r="B291" s="1" t="s">
        <v>232</v>
      </c>
      <c r="C291" s="1" t="s">
        <v>233</v>
      </c>
      <c r="D291" s="1" t="s">
        <v>234</v>
      </c>
      <c r="E291">
        <v>1304</v>
      </c>
      <c r="F291" s="1" t="s">
        <v>235</v>
      </c>
      <c r="G291" s="1" t="s">
        <v>236</v>
      </c>
      <c r="H291">
        <v>12.5</v>
      </c>
      <c r="I291">
        <v>113</v>
      </c>
      <c r="J291">
        <v>37</v>
      </c>
      <c r="K291">
        <v>1407</v>
      </c>
    </row>
    <row r="292" spans="1:11" x14ac:dyDescent="0.25">
      <c r="A292">
        <v>2015</v>
      </c>
      <c r="B292" s="1" t="s">
        <v>237</v>
      </c>
      <c r="C292" s="1" t="s">
        <v>238</v>
      </c>
      <c r="D292" s="1" t="s">
        <v>163</v>
      </c>
      <c r="E292">
        <v>5034</v>
      </c>
      <c r="F292" s="1" t="s">
        <v>230</v>
      </c>
      <c r="G292" s="1" t="s">
        <v>231</v>
      </c>
      <c r="H292">
        <v>2.13</v>
      </c>
      <c r="I292">
        <v>211</v>
      </c>
      <c r="J292">
        <v>6</v>
      </c>
      <c r="K292">
        <v>450.4</v>
      </c>
    </row>
    <row r="293" spans="1:11" x14ac:dyDescent="0.25">
      <c r="A293">
        <v>2018</v>
      </c>
      <c r="B293" s="1" t="s">
        <v>237</v>
      </c>
      <c r="C293" s="1" t="s">
        <v>238</v>
      </c>
      <c r="D293" s="1" t="s">
        <v>163</v>
      </c>
      <c r="E293">
        <v>5034</v>
      </c>
      <c r="F293" s="1" t="s">
        <v>230</v>
      </c>
      <c r="G293" s="1" t="s">
        <v>231</v>
      </c>
      <c r="H293">
        <v>2.46</v>
      </c>
      <c r="I293">
        <v>222</v>
      </c>
      <c r="J293">
        <v>6</v>
      </c>
      <c r="K293">
        <v>546.4</v>
      </c>
    </row>
    <row r="294" spans="1:11" x14ac:dyDescent="0.25">
      <c r="A294">
        <v>2019</v>
      </c>
      <c r="B294" s="1" t="s">
        <v>237</v>
      </c>
      <c r="C294" s="1" t="s">
        <v>238</v>
      </c>
      <c r="D294" s="1" t="s">
        <v>163</v>
      </c>
      <c r="E294">
        <v>5034</v>
      </c>
      <c r="F294" s="1" t="s">
        <v>230</v>
      </c>
      <c r="G294" s="1" t="s">
        <v>231</v>
      </c>
      <c r="H294">
        <v>2.35</v>
      </c>
      <c r="I294">
        <v>265</v>
      </c>
      <c r="J294">
        <v>7</v>
      </c>
      <c r="K294">
        <v>621.20000000000005</v>
      </c>
    </row>
    <row r="295" spans="1:11" x14ac:dyDescent="0.25">
      <c r="A295">
        <v>2020</v>
      </c>
      <c r="B295" s="1" t="s">
        <v>237</v>
      </c>
      <c r="C295" s="1" t="s">
        <v>238</v>
      </c>
      <c r="D295" s="1" t="s">
        <v>163</v>
      </c>
      <c r="E295">
        <v>5034</v>
      </c>
      <c r="F295" s="1" t="s">
        <v>230</v>
      </c>
      <c r="G295" s="1" t="s">
        <v>231</v>
      </c>
      <c r="H295">
        <v>0.77</v>
      </c>
      <c r="I295">
        <v>69</v>
      </c>
      <c r="J295">
        <v>4</v>
      </c>
      <c r="K295">
        <v>53.3</v>
      </c>
    </row>
    <row r="296" spans="1:11" x14ac:dyDescent="0.25">
      <c r="A296">
        <v>2021</v>
      </c>
      <c r="B296" s="1" t="s">
        <v>237</v>
      </c>
      <c r="C296" s="1" t="s">
        <v>238</v>
      </c>
      <c r="D296" s="1" t="s">
        <v>163</v>
      </c>
      <c r="E296">
        <v>5034</v>
      </c>
      <c r="F296" s="1" t="s">
        <v>230</v>
      </c>
      <c r="G296" s="1" t="s">
        <v>231</v>
      </c>
      <c r="H296">
        <v>1.23</v>
      </c>
      <c r="I296">
        <v>127</v>
      </c>
      <c r="J296">
        <v>4</v>
      </c>
      <c r="K296">
        <v>155.9</v>
      </c>
    </row>
    <row r="297" spans="1:11" x14ac:dyDescent="0.25">
      <c r="A297">
        <v>2022</v>
      </c>
      <c r="B297" s="1" t="s">
        <v>237</v>
      </c>
      <c r="C297" s="1" t="s">
        <v>238</v>
      </c>
      <c r="D297" s="1" t="s">
        <v>163</v>
      </c>
      <c r="E297">
        <v>5034</v>
      </c>
      <c r="F297" s="1" t="s">
        <v>230</v>
      </c>
      <c r="G297" s="1" t="s">
        <v>231</v>
      </c>
      <c r="H297">
        <v>1.81</v>
      </c>
      <c r="I297">
        <v>182</v>
      </c>
      <c r="J297">
        <v>5</v>
      </c>
      <c r="K297">
        <v>331</v>
      </c>
    </row>
    <row r="298" spans="1:11" x14ac:dyDescent="0.25">
      <c r="A298">
        <v>2023</v>
      </c>
      <c r="B298" s="1" t="s">
        <v>237</v>
      </c>
      <c r="C298" s="1" t="s">
        <v>238</v>
      </c>
      <c r="D298" s="1" t="s">
        <v>163</v>
      </c>
      <c r="E298">
        <v>5034</v>
      </c>
      <c r="F298" s="1" t="s">
        <v>230</v>
      </c>
      <c r="G298" s="1" t="s">
        <v>231</v>
      </c>
      <c r="H298">
        <v>2.68</v>
      </c>
      <c r="I298">
        <v>243</v>
      </c>
      <c r="J298">
        <v>9</v>
      </c>
      <c r="K298">
        <v>651.6</v>
      </c>
    </row>
    <row r="299" spans="1:11" x14ac:dyDescent="0.25">
      <c r="A299">
        <v>2024</v>
      </c>
      <c r="B299" s="1" t="s">
        <v>237</v>
      </c>
      <c r="C299" s="1" t="s">
        <v>238</v>
      </c>
      <c r="D299" s="1" t="s">
        <v>163</v>
      </c>
      <c r="E299">
        <v>5034</v>
      </c>
      <c r="F299" s="1" t="s">
        <v>230</v>
      </c>
      <c r="G299" s="1" t="s">
        <v>231</v>
      </c>
      <c r="H299">
        <v>2.77</v>
      </c>
      <c r="I299">
        <v>270</v>
      </c>
      <c r="J299">
        <v>7</v>
      </c>
      <c r="K299">
        <v>748.1</v>
      </c>
    </row>
    <row r="300" spans="1:11" x14ac:dyDescent="0.25">
      <c r="A300">
        <v>2025</v>
      </c>
      <c r="B300" s="1" t="s">
        <v>237</v>
      </c>
      <c r="C300" s="1" t="s">
        <v>238</v>
      </c>
      <c r="D300" s="1" t="s">
        <v>163</v>
      </c>
      <c r="E300">
        <v>5034</v>
      </c>
      <c r="F300" s="1" t="s">
        <v>230</v>
      </c>
      <c r="G300" s="1" t="s">
        <v>231</v>
      </c>
      <c r="H300">
        <v>2.89</v>
      </c>
      <c r="I300">
        <v>253</v>
      </c>
      <c r="J300">
        <v>10</v>
      </c>
      <c r="K300">
        <v>729.8</v>
      </c>
    </row>
    <row r="301" spans="1:11" x14ac:dyDescent="0.25">
      <c r="A301">
        <v>2026</v>
      </c>
      <c r="B301" s="1" t="s">
        <v>237</v>
      </c>
      <c r="C301" s="1" t="s">
        <v>238</v>
      </c>
      <c r="D301" s="1" t="s">
        <v>163</v>
      </c>
      <c r="E301">
        <v>5034</v>
      </c>
      <c r="F301" s="1" t="s">
        <v>230</v>
      </c>
      <c r="G301" s="1" t="s">
        <v>231</v>
      </c>
      <c r="H301">
        <v>2.84</v>
      </c>
      <c r="I301">
        <v>240</v>
      </c>
      <c r="J301">
        <v>8</v>
      </c>
      <c r="K301">
        <v>682.2</v>
      </c>
    </row>
    <row r="302" spans="1:11" x14ac:dyDescent="0.25">
      <c r="A302">
        <v>2015</v>
      </c>
      <c r="B302" s="1" t="s">
        <v>239</v>
      </c>
      <c r="C302" s="1" t="s">
        <v>147</v>
      </c>
      <c r="D302" s="1" t="s">
        <v>163</v>
      </c>
      <c r="E302">
        <v>7196</v>
      </c>
      <c r="F302" s="1" t="s">
        <v>240</v>
      </c>
      <c r="G302" s="1" t="s">
        <v>241</v>
      </c>
      <c r="H302">
        <v>1.1200000000000001</v>
      </c>
      <c r="I302">
        <v>300</v>
      </c>
      <c r="J302">
        <v>2</v>
      </c>
      <c r="K302">
        <v>335.3</v>
      </c>
    </row>
    <row r="303" spans="1:11" x14ac:dyDescent="0.25">
      <c r="A303">
        <v>2018</v>
      </c>
      <c r="B303" s="1" t="s">
        <v>239</v>
      </c>
      <c r="C303" s="1" t="s">
        <v>147</v>
      </c>
      <c r="D303" s="1" t="s">
        <v>163</v>
      </c>
      <c r="E303">
        <v>7196</v>
      </c>
      <c r="F303" s="1" t="s">
        <v>240</v>
      </c>
      <c r="G303" s="1" t="s">
        <v>241</v>
      </c>
      <c r="H303">
        <v>1.2</v>
      </c>
      <c r="I303">
        <v>320</v>
      </c>
      <c r="J303">
        <v>3</v>
      </c>
      <c r="K303">
        <v>382.8</v>
      </c>
    </row>
    <row r="304" spans="1:11" x14ac:dyDescent="0.25">
      <c r="A304">
        <v>2019</v>
      </c>
      <c r="B304" s="1" t="s">
        <v>239</v>
      </c>
      <c r="C304" s="1" t="s">
        <v>147</v>
      </c>
      <c r="D304" s="1" t="s">
        <v>163</v>
      </c>
      <c r="E304">
        <v>7196</v>
      </c>
      <c r="F304" s="1" t="s">
        <v>240</v>
      </c>
      <c r="G304" s="1" t="s">
        <v>241</v>
      </c>
      <c r="H304">
        <v>1.31</v>
      </c>
      <c r="I304">
        <v>364</v>
      </c>
      <c r="J304">
        <v>3</v>
      </c>
      <c r="K304">
        <v>476.4</v>
      </c>
    </row>
    <row r="305" spans="1:11" x14ac:dyDescent="0.25">
      <c r="A305">
        <v>2020</v>
      </c>
      <c r="B305" s="1" t="s">
        <v>239</v>
      </c>
      <c r="C305" s="1" t="s">
        <v>147</v>
      </c>
      <c r="D305" s="1" t="s">
        <v>163</v>
      </c>
      <c r="E305">
        <v>7196</v>
      </c>
      <c r="F305" s="1" t="s">
        <v>240</v>
      </c>
      <c r="G305" s="1" t="s">
        <v>241</v>
      </c>
      <c r="H305">
        <v>0.4</v>
      </c>
      <c r="I305">
        <v>102</v>
      </c>
      <c r="J305">
        <v>1</v>
      </c>
      <c r="K305">
        <v>41.1</v>
      </c>
    </row>
    <row r="306" spans="1:11" x14ac:dyDescent="0.25">
      <c r="A306">
        <v>2021</v>
      </c>
      <c r="B306" s="1" t="s">
        <v>239</v>
      </c>
      <c r="C306" s="1" t="s">
        <v>147</v>
      </c>
      <c r="D306" s="1" t="s">
        <v>163</v>
      </c>
      <c r="E306">
        <v>7196</v>
      </c>
      <c r="F306" s="1" t="s">
        <v>240</v>
      </c>
      <c r="G306" s="1" t="s">
        <v>241</v>
      </c>
      <c r="H306">
        <v>0.63</v>
      </c>
      <c r="I306">
        <v>169</v>
      </c>
      <c r="J306">
        <v>3</v>
      </c>
      <c r="K306">
        <v>106.5</v>
      </c>
    </row>
    <row r="307" spans="1:11" x14ac:dyDescent="0.25">
      <c r="A307">
        <v>2022</v>
      </c>
      <c r="B307" s="1" t="s">
        <v>239</v>
      </c>
      <c r="C307" s="1" t="s">
        <v>147</v>
      </c>
      <c r="D307" s="1" t="s">
        <v>163</v>
      </c>
      <c r="E307">
        <v>7196</v>
      </c>
      <c r="F307" s="1" t="s">
        <v>240</v>
      </c>
      <c r="G307" s="1" t="s">
        <v>241</v>
      </c>
      <c r="H307">
        <v>1.02</v>
      </c>
      <c r="I307">
        <v>228</v>
      </c>
      <c r="J307">
        <v>1</v>
      </c>
      <c r="K307">
        <v>233</v>
      </c>
    </row>
    <row r="308" spans="1:11" x14ac:dyDescent="0.25">
      <c r="A308">
        <v>2023</v>
      </c>
      <c r="B308" s="1" t="s">
        <v>239</v>
      </c>
      <c r="C308" s="1" t="s">
        <v>147</v>
      </c>
      <c r="D308" s="1" t="s">
        <v>163</v>
      </c>
      <c r="E308">
        <v>7196</v>
      </c>
      <c r="F308" s="1" t="s">
        <v>240</v>
      </c>
      <c r="G308" s="1" t="s">
        <v>241</v>
      </c>
      <c r="H308">
        <v>1.3</v>
      </c>
      <c r="I308">
        <v>319</v>
      </c>
      <c r="J308">
        <v>5</v>
      </c>
      <c r="K308">
        <v>414.7</v>
      </c>
    </row>
    <row r="309" spans="1:11" x14ac:dyDescent="0.25">
      <c r="A309">
        <v>2024</v>
      </c>
      <c r="B309" s="1" t="s">
        <v>239</v>
      </c>
      <c r="C309" s="1" t="s">
        <v>147</v>
      </c>
      <c r="D309" s="1" t="s">
        <v>163</v>
      </c>
      <c r="E309">
        <v>7196</v>
      </c>
      <c r="F309" s="1" t="s">
        <v>240</v>
      </c>
      <c r="G309" s="1" t="s">
        <v>241</v>
      </c>
      <c r="H309">
        <v>1.35</v>
      </c>
      <c r="I309">
        <v>362</v>
      </c>
      <c r="J309">
        <v>4</v>
      </c>
      <c r="K309">
        <v>487.8</v>
      </c>
    </row>
    <row r="310" spans="1:11" x14ac:dyDescent="0.25">
      <c r="A310">
        <v>2025</v>
      </c>
      <c r="B310" s="1" t="s">
        <v>239</v>
      </c>
      <c r="C310" s="1" t="s">
        <v>147</v>
      </c>
      <c r="D310" s="1" t="s">
        <v>163</v>
      </c>
      <c r="E310">
        <v>7196</v>
      </c>
      <c r="F310" s="1" t="s">
        <v>240</v>
      </c>
      <c r="G310" s="1" t="s">
        <v>241</v>
      </c>
      <c r="H310">
        <v>1.44</v>
      </c>
      <c r="I310">
        <v>362</v>
      </c>
      <c r="J310">
        <v>4</v>
      </c>
      <c r="K310">
        <v>519.9</v>
      </c>
    </row>
    <row r="311" spans="1:11" x14ac:dyDescent="0.25">
      <c r="A311">
        <v>2026</v>
      </c>
      <c r="B311" s="1" t="s">
        <v>239</v>
      </c>
      <c r="C311" s="1" t="s">
        <v>147</v>
      </c>
      <c r="D311" s="1" t="s">
        <v>163</v>
      </c>
      <c r="E311">
        <v>7196</v>
      </c>
      <c r="F311" s="1" t="s">
        <v>240</v>
      </c>
      <c r="G311" s="1" t="s">
        <v>241</v>
      </c>
      <c r="H311">
        <v>1.52</v>
      </c>
      <c r="I311">
        <v>378</v>
      </c>
      <c r="J311">
        <v>5</v>
      </c>
      <c r="K311">
        <v>574.79999999999995</v>
      </c>
    </row>
    <row r="312" spans="1:11" x14ac:dyDescent="0.25">
      <c r="A312">
        <v>2015</v>
      </c>
      <c r="B312" s="1" t="s">
        <v>242</v>
      </c>
      <c r="C312" s="1" t="s">
        <v>38</v>
      </c>
      <c r="D312" s="1" t="s">
        <v>158</v>
      </c>
      <c r="E312">
        <v>10262</v>
      </c>
      <c r="F312" s="1" t="s">
        <v>243</v>
      </c>
      <c r="G312" s="1" t="s">
        <v>244</v>
      </c>
      <c r="H312">
        <v>0.9</v>
      </c>
      <c r="I312">
        <v>441</v>
      </c>
      <c r="J312">
        <v>2</v>
      </c>
      <c r="K312">
        <v>396.7</v>
      </c>
    </row>
    <row r="313" spans="1:11" x14ac:dyDescent="0.25">
      <c r="A313">
        <v>2018</v>
      </c>
      <c r="B313" s="1" t="s">
        <v>242</v>
      </c>
      <c r="C313" s="1" t="s">
        <v>38</v>
      </c>
      <c r="D313" s="1" t="s">
        <v>158</v>
      </c>
      <c r="E313">
        <v>10262</v>
      </c>
      <c r="F313" s="1" t="s">
        <v>243</v>
      </c>
      <c r="G313" s="1" t="s">
        <v>244</v>
      </c>
      <c r="H313">
        <v>1.04</v>
      </c>
      <c r="I313">
        <v>436</v>
      </c>
      <c r="J313">
        <v>3</v>
      </c>
      <c r="K313">
        <v>451.9</v>
      </c>
    </row>
    <row r="314" spans="1:11" x14ac:dyDescent="0.25">
      <c r="A314">
        <v>2019</v>
      </c>
      <c r="B314" s="1" t="s">
        <v>242</v>
      </c>
      <c r="C314" s="1" t="s">
        <v>38</v>
      </c>
      <c r="D314" s="1" t="s">
        <v>158</v>
      </c>
      <c r="E314">
        <v>10262</v>
      </c>
      <c r="F314" s="1" t="s">
        <v>243</v>
      </c>
      <c r="G314" s="1" t="s">
        <v>244</v>
      </c>
      <c r="H314">
        <v>1.1000000000000001</v>
      </c>
      <c r="I314">
        <v>460</v>
      </c>
      <c r="J314">
        <v>3</v>
      </c>
      <c r="K314">
        <v>505.9</v>
      </c>
    </row>
    <row r="315" spans="1:11" x14ac:dyDescent="0.25">
      <c r="A315">
        <v>2020</v>
      </c>
      <c r="B315" s="1" t="s">
        <v>242</v>
      </c>
      <c r="C315" s="1" t="s">
        <v>38</v>
      </c>
      <c r="D315" s="1" t="s">
        <v>158</v>
      </c>
      <c r="E315">
        <v>10262</v>
      </c>
      <c r="F315" s="1" t="s">
        <v>243</v>
      </c>
      <c r="G315" s="1" t="s">
        <v>244</v>
      </c>
      <c r="H315">
        <v>0.34</v>
      </c>
      <c r="I315">
        <v>120</v>
      </c>
      <c r="J315">
        <v>2</v>
      </c>
      <c r="K315">
        <v>40.5</v>
      </c>
    </row>
    <row r="316" spans="1:11" x14ac:dyDescent="0.25">
      <c r="A316">
        <v>2021</v>
      </c>
      <c r="B316" s="1" t="s">
        <v>242</v>
      </c>
      <c r="C316" s="1" t="s">
        <v>38</v>
      </c>
      <c r="D316" s="1" t="s">
        <v>158</v>
      </c>
      <c r="E316">
        <v>10262</v>
      </c>
      <c r="F316" s="1" t="s">
        <v>243</v>
      </c>
      <c r="G316" s="1" t="s">
        <v>244</v>
      </c>
      <c r="H316">
        <v>0.56000000000000005</v>
      </c>
      <c r="I316">
        <v>238</v>
      </c>
      <c r="J316">
        <v>1</v>
      </c>
      <c r="K316">
        <v>132.30000000000001</v>
      </c>
    </row>
    <row r="317" spans="1:11" x14ac:dyDescent="0.25">
      <c r="A317">
        <v>2022</v>
      </c>
      <c r="B317" s="1" t="s">
        <v>242</v>
      </c>
      <c r="C317" s="1" t="s">
        <v>38</v>
      </c>
      <c r="D317" s="1" t="s">
        <v>158</v>
      </c>
      <c r="E317">
        <v>10262</v>
      </c>
      <c r="F317" s="1" t="s">
        <v>243</v>
      </c>
      <c r="G317" s="1" t="s">
        <v>244</v>
      </c>
      <c r="H317">
        <v>0.82</v>
      </c>
      <c r="I317">
        <v>332</v>
      </c>
      <c r="J317">
        <v>3</v>
      </c>
      <c r="K317">
        <v>272.7</v>
      </c>
    </row>
    <row r="318" spans="1:11" x14ac:dyDescent="0.25">
      <c r="A318">
        <v>2023</v>
      </c>
      <c r="B318" s="1" t="s">
        <v>242</v>
      </c>
      <c r="C318" s="1" t="s">
        <v>38</v>
      </c>
      <c r="D318" s="1" t="s">
        <v>158</v>
      </c>
      <c r="E318">
        <v>10262</v>
      </c>
      <c r="F318" s="1" t="s">
        <v>243</v>
      </c>
      <c r="G318" s="1" t="s">
        <v>244</v>
      </c>
      <c r="H318">
        <v>1.04</v>
      </c>
      <c r="I318">
        <v>458</v>
      </c>
      <c r="J318">
        <v>2</v>
      </c>
      <c r="K318">
        <v>474.5</v>
      </c>
    </row>
    <row r="319" spans="1:11" x14ac:dyDescent="0.25">
      <c r="A319">
        <v>2024</v>
      </c>
      <c r="B319" s="1" t="s">
        <v>242</v>
      </c>
      <c r="C319" s="1" t="s">
        <v>38</v>
      </c>
      <c r="D319" s="1" t="s">
        <v>158</v>
      </c>
      <c r="E319">
        <v>10262</v>
      </c>
      <c r="F319" s="1" t="s">
        <v>243</v>
      </c>
      <c r="G319" s="1" t="s">
        <v>244</v>
      </c>
      <c r="H319">
        <v>1.1499999999999999</v>
      </c>
      <c r="I319">
        <v>476</v>
      </c>
      <c r="J319">
        <v>4</v>
      </c>
      <c r="K319">
        <v>548.70000000000005</v>
      </c>
    </row>
    <row r="320" spans="1:11" x14ac:dyDescent="0.25">
      <c r="A320">
        <v>2025</v>
      </c>
      <c r="B320" s="1" t="s">
        <v>242</v>
      </c>
      <c r="C320" s="1" t="s">
        <v>38</v>
      </c>
      <c r="D320" s="1" t="s">
        <v>158</v>
      </c>
      <c r="E320">
        <v>10262</v>
      </c>
      <c r="F320" s="1" t="s">
        <v>243</v>
      </c>
      <c r="G320" s="1" t="s">
        <v>244</v>
      </c>
      <c r="H320">
        <v>1.1399999999999999</v>
      </c>
      <c r="I320">
        <v>468</v>
      </c>
      <c r="J320">
        <v>1</v>
      </c>
      <c r="K320">
        <v>533.20000000000005</v>
      </c>
    </row>
    <row r="321" spans="1:11" x14ac:dyDescent="0.25">
      <c r="A321">
        <v>2026</v>
      </c>
      <c r="B321" s="1" t="s">
        <v>242</v>
      </c>
      <c r="C321" s="1" t="s">
        <v>38</v>
      </c>
      <c r="D321" s="1" t="s">
        <v>158</v>
      </c>
      <c r="E321">
        <v>10262</v>
      </c>
      <c r="F321" s="1" t="s">
        <v>243</v>
      </c>
      <c r="G321" s="1" t="s">
        <v>244</v>
      </c>
      <c r="H321">
        <v>1.2</v>
      </c>
      <c r="I321">
        <v>491</v>
      </c>
      <c r="J321">
        <v>1</v>
      </c>
      <c r="K321">
        <v>588.29999999999995</v>
      </c>
    </row>
    <row r="322" spans="1:11" x14ac:dyDescent="0.25">
      <c r="A322">
        <v>2015</v>
      </c>
      <c r="B322" s="1" t="s">
        <v>245</v>
      </c>
      <c r="C322" s="1" t="s">
        <v>246</v>
      </c>
      <c r="D322" s="1" t="s">
        <v>247</v>
      </c>
      <c r="E322">
        <v>9229</v>
      </c>
      <c r="F322" s="1" t="s">
        <v>243</v>
      </c>
      <c r="G322" s="1" t="s">
        <v>248</v>
      </c>
      <c r="H322">
        <v>1.73</v>
      </c>
      <c r="I322">
        <v>335</v>
      </c>
      <c r="J322">
        <v>6</v>
      </c>
      <c r="K322">
        <v>579.1</v>
      </c>
    </row>
    <row r="323" spans="1:11" x14ac:dyDescent="0.25">
      <c r="A323">
        <v>2018</v>
      </c>
      <c r="B323" s="1" t="s">
        <v>245</v>
      </c>
      <c r="C323" s="1" t="s">
        <v>246</v>
      </c>
      <c r="D323" s="1" t="s">
        <v>247</v>
      </c>
      <c r="E323">
        <v>9229</v>
      </c>
      <c r="F323" s="1" t="s">
        <v>243</v>
      </c>
      <c r="G323" s="1" t="s">
        <v>248</v>
      </c>
      <c r="H323">
        <v>2.13</v>
      </c>
      <c r="I323">
        <v>403</v>
      </c>
      <c r="J323">
        <v>5</v>
      </c>
      <c r="K323">
        <v>856.6</v>
      </c>
    </row>
    <row r="324" spans="1:11" x14ac:dyDescent="0.25">
      <c r="A324">
        <v>2019</v>
      </c>
      <c r="B324" s="1" t="s">
        <v>245</v>
      </c>
      <c r="C324" s="1" t="s">
        <v>246</v>
      </c>
      <c r="D324" s="1" t="s">
        <v>247</v>
      </c>
      <c r="E324">
        <v>9229</v>
      </c>
      <c r="F324" s="1" t="s">
        <v>243</v>
      </c>
      <c r="G324" s="1" t="s">
        <v>248</v>
      </c>
      <c r="H324">
        <v>2.0699999999999998</v>
      </c>
      <c r="I324">
        <v>391</v>
      </c>
      <c r="J324">
        <v>6</v>
      </c>
      <c r="K324">
        <v>811.1</v>
      </c>
    </row>
    <row r="325" spans="1:11" x14ac:dyDescent="0.25">
      <c r="A325">
        <v>2020</v>
      </c>
      <c r="B325" s="1" t="s">
        <v>245</v>
      </c>
      <c r="C325" s="1" t="s">
        <v>246</v>
      </c>
      <c r="D325" s="1" t="s">
        <v>247</v>
      </c>
      <c r="E325">
        <v>9229</v>
      </c>
      <c r="F325" s="1" t="s">
        <v>243</v>
      </c>
      <c r="G325" s="1" t="s">
        <v>248</v>
      </c>
      <c r="H325">
        <v>0.68</v>
      </c>
      <c r="I325">
        <v>133</v>
      </c>
      <c r="J325">
        <v>2</v>
      </c>
      <c r="K325">
        <v>90.8</v>
      </c>
    </row>
    <row r="326" spans="1:11" x14ac:dyDescent="0.25">
      <c r="A326">
        <v>2021</v>
      </c>
      <c r="B326" s="1" t="s">
        <v>245</v>
      </c>
      <c r="C326" s="1" t="s">
        <v>246</v>
      </c>
      <c r="D326" s="1" t="s">
        <v>247</v>
      </c>
      <c r="E326">
        <v>9229</v>
      </c>
      <c r="F326" s="1" t="s">
        <v>243</v>
      </c>
      <c r="G326" s="1" t="s">
        <v>248</v>
      </c>
      <c r="H326">
        <v>1.07</v>
      </c>
      <c r="I326">
        <v>210</v>
      </c>
      <c r="J326">
        <v>2</v>
      </c>
      <c r="K326">
        <v>224.5</v>
      </c>
    </row>
    <row r="327" spans="1:11" x14ac:dyDescent="0.25">
      <c r="A327">
        <v>2022</v>
      </c>
      <c r="B327" s="1" t="s">
        <v>245</v>
      </c>
      <c r="C327" s="1" t="s">
        <v>246</v>
      </c>
      <c r="D327" s="1" t="s">
        <v>247</v>
      </c>
      <c r="E327">
        <v>9229</v>
      </c>
      <c r="F327" s="1" t="s">
        <v>243</v>
      </c>
      <c r="G327" s="1" t="s">
        <v>248</v>
      </c>
      <c r="H327">
        <v>1.64</v>
      </c>
      <c r="I327">
        <v>355</v>
      </c>
      <c r="J327">
        <v>3</v>
      </c>
      <c r="K327">
        <v>582.29999999999995</v>
      </c>
    </row>
    <row r="328" spans="1:11" x14ac:dyDescent="0.25">
      <c r="A328">
        <v>2023</v>
      </c>
      <c r="B328" s="1" t="s">
        <v>245</v>
      </c>
      <c r="C328" s="1" t="s">
        <v>246</v>
      </c>
      <c r="D328" s="1" t="s">
        <v>247</v>
      </c>
      <c r="E328">
        <v>9229</v>
      </c>
      <c r="F328" s="1" t="s">
        <v>243</v>
      </c>
      <c r="G328" s="1" t="s">
        <v>248</v>
      </c>
      <c r="H328">
        <v>2.0699999999999998</v>
      </c>
      <c r="I328">
        <v>428</v>
      </c>
      <c r="J328">
        <v>4</v>
      </c>
      <c r="K328">
        <v>887.9</v>
      </c>
    </row>
    <row r="329" spans="1:11" x14ac:dyDescent="0.25">
      <c r="A329">
        <v>2024</v>
      </c>
      <c r="B329" s="1" t="s">
        <v>245</v>
      </c>
      <c r="C329" s="1" t="s">
        <v>246</v>
      </c>
      <c r="D329" s="1" t="s">
        <v>247</v>
      </c>
      <c r="E329">
        <v>9229</v>
      </c>
      <c r="F329" s="1" t="s">
        <v>243</v>
      </c>
      <c r="G329" s="1" t="s">
        <v>248</v>
      </c>
      <c r="H329">
        <v>2.25</v>
      </c>
      <c r="I329">
        <v>426</v>
      </c>
      <c r="J329">
        <v>6</v>
      </c>
      <c r="K329">
        <v>961.3</v>
      </c>
    </row>
    <row r="330" spans="1:11" x14ac:dyDescent="0.25">
      <c r="A330">
        <v>2025</v>
      </c>
      <c r="B330" s="1" t="s">
        <v>245</v>
      </c>
      <c r="C330" s="1" t="s">
        <v>246</v>
      </c>
      <c r="D330" s="1" t="s">
        <v>247</v>
      </c>
      <c r="E330">
        <v>9229</v>
      </c>
      <c r="F330" s="1" t="s">
        <v>243</v>
      </c>
      <c r="G330" s="1" t="s">
        <v>248</v>
      </c>
      <c r="H330">
        <v>2.27</v>
      </c>
      <c r="I330">
        <v>478</v>
      </c>
      <c r="J330">
        <v>7</v>
      </c>
      <c r="K330">
        <v>1086.4000000000001</v>
      </c>
    </row>
    <row r="331" spans="1:11" x14ac:dyDescent="0.25">
      <c r="A331">
        <v>2026</v>
      </c>
      <c r="B331" s="1" t="s">
        <v>245</v>
      </c>
      <c r="C331" s="1" t="s">
        <v>246</v>
      </c>
      <c r="D331" s="1" t="s">
        <v>247</v>
      </c>
      <c r="E331">
        <v>9229</v>
      </c>
      <c r="F331" s="1" t="s">
        <v>243</v>
      </c>
      <c r="G331" s="1" t="s">
        <v>248</v>
      </c>
      <c r="H331">
        <v>2.52</v>
      </c>
      <c r="I331">
        <v>446</v>
      </c>
      <c r="J331">
        <v>7</v>
      </c>
      <c r="K331">
        <v>1122.0999999999999</v>
      </c>
    </row>
    <row r="332" spans="1:11" x14ac:dyDescent="0.25">
      <c r="A332">
        <v>2015</v>
      </c>
      <c r="B332" s="1" t="s">
        <v>249</v>
      </c>
      <c r="C332" s="1" t="s">
        <v>226</v>
      </c>
      <c r="D332" s="1" t="s">
        <v>216</v>
      </c>
      <c r="E332">
        <v>1244</v>
      </c>
      <c r="F332" s="1" t="s">
        <v>53</v>
      </c>
      <c r="G332" s="1" t="s">
        <v>250</v>
      </c>
      <c r="H332">
        <v>3.95</v>
      </c>
      <c r="I332">
        <v>96</v>
      </c>
      <c r="J332">
        <v>11</v>
      </c>
      <c r="K332">
        <v>380.9</v>
      </c>
    </row>
    <row r="333" spans="1:11" x14ac:dyDescent="0.25">
      <c r="A333">
        <v>2018</v>
      </c>
      <c r="B333" s="1" t="s">
        <v>249</v>
      </c>
      <c r="C333" s="1" t="s">
        <v>226</v>
      </c>
      <c r="D333" s="1" t="s">
        <v>216</v>
      </c>
      <c r="E333">
        <v>1244</v>
      </c>
      <c r="F333" s="1" t="s">
        <v>53</v>
      </c>
      <c r="G333" s="1" t="s">
        <v>250</v>
      </c>
      <c r="H333">
        <v>4.26</v>
      </c>
      <c r="I333">
        <v>96</v>
      </c>
      <c r="J333">
        <v>11</v>
      </c>
      <c r="K333">
        <v>408.5</v>
      </c>
    </row>
    <row r="334" spans="1:11" x14ac:dyDescent="0.25">
      <c r="A334">
        <v>2019</v>
      </c>
      <c r="B334" s="1" t="s">
        <v>249</v>
      </c>
      <c r="C334" s="1" t="s">
        <v>226</v>
      </c>
      <c r="D334" s="1" t="s">
        <v>216</v>
      </c>
      <c r="E334">
        <v>1244</v>
      </c>
      <c r="F334" s="1" t="s">
        <v>53</v>
      </c>
      <c r="G334" s="1" t="s">
        <v>250</v>
      </c>
      <c r="H334">
        <v>4.49</v>
      </c>
      <c r="I334">
        <v>94</v>
      </c>
      <c r="J334">
        <v>13</v>
      </c>
      <c r="K334">
        <v>420.5</v>
      </c>
    </row>
    <row r="335" spans="1:11" x14ac:dyDescent="0.25">
      <c r="A335">
        <v>2020</v>
      </c>
      <c r="B335" s="1" t="s">
        <v>249</v>
      </c>
      <c r="C335" s="1" t="s">
        <v>226</v>
      </c>
      <c r="D335" s="1" t="s">
        <v>216</v>
      </c>
      <c r="E335">
        <v>1244</v>
      </c>
      <c r="F335" s="1" t="s">
        <v>53</v>
      </c>
      <c r="G335" s="1" t="s">
        <v>250</v>
      </c>
      <c r="H335">
        <v>1.47</v>
      </c>
      <c r="I335">
        <v>31</v>
      </c>
      <c r="J335">
        <v>4</v>
      </c>
      <c r="K335">
        <v>45.4</v>
      </c>
    </row>
    <row r="336" spans="1:11" x14ac:dyDescent="0.25">
      <c r="A336">
        <v>2021</v>
      </c>
      <c r="B336" s="1" t="s">
        <v>249</v>
      </c>
      <c r="C336" s="1" t="s">
        <v>226</v>
      </c>
      <c r="D336" s="1" t="s">
        <v>216</v>
      </c>
      <c r="E336">
        <v>1244</v>
      </c>
      <c r="F336" s="1" t="s">
        <v>53</v>
      </c>
      <c r="G336" s="1" t="s">
        <v>250</v>
      </c>
      <c r="H336">
        <v>2.25</v>
      </c>
      <c r="I336">
        <v>48</v>
      </c>
      <c r="J336">
        <v>7</v>
      </c>
      <c r="K336">
        <v>108.7</v>
      </c>
    </row>
    <row r="337" spans="1:11" x14ac:dyDescent="0.25">
      <c r="A337">
        <v>2022</v>
      </c>
      <c r="B337" s="1" t="s">
        <v>249</v>
      </c>
      <c r="C337" s="1" t="s">
        <v>226</v>
      </c>
      <c r="D337" s="1" t="s">
        <v>216</v>
      </c>
      <c r="E337">
        <v>1244</v>
      </c>
      <c r="F337" s="1" t="s">
        <v>53</v>
      </c>
      <c r="G337" s="1" t="s">
        <v>250</v>
      </c>
      <c r="H337">
        <v>3.44</v>
      </c>
      <c r="I337">
        <v>74</v>
      </c>
      <c r="J337">
        <v>10</v>
      </c>
      <c r="K337">
        <v>253.3</v>
      </c>
    </row>
    <row r="338" spans="1:11" x14ac:dyDescent="0.25">
      <c r="A338">
        <v>2023</v>
      </c>
      <c r="B338" s="1" t="s">
        <v>249</v>
      </c>
      <c r="C338" s="1" t="s">
        <v>226</v>
      </c>
      <c r="D338" s="1" t="s">
        <v>216</v>
      </c>
      <c r="E338">
        <v>1244</v>
      </c>
      <c r="F338" s="1" t="s">
        <v>53</v>
      </c>
      <c r="G338" s="1" t="s">
        <v>250</v>
      </c>
      <c r="H338">
        <v>4.41</v>
      </c>
      <c r="I338">
        <v>96</v>
      </c>
      <c r="J338">
        <v>14</v>
      </c>
      <c r="K338">
        <v>423.6</v>
      </c>
    </row>
    <row r="339" spans="1:11" x14ac:dyDescent="0.25">
      <c r="A339">
        <v>2024</v>
      </c>
      <c r="B339" s="1" t="s">
        <v>249</v>
      </c>
      <c r="C339" s="1" t="s">
        <v>226</v>
      </c>
      <c r="D339" s="1" t="s">
        <v>216</v>
      </c>
      <c r="E339">
        <v>1244</v>
      </c>
      <c r="F339" s="1" t="s">
        <v>53</v>
      </c>
      <c r="G339" s="1" t="s">
        <v>250</v>
      </c>
      <c r="H339">
        <v>4.91</v>
      </c>
      <c r="I339">
        <v>112</v>
      </c>
      <c r="J339">
        <v>15</v>
      </c>
      <c r="K339">
        <v>551.79999999999995</v>
      </c>
    </row>
    <row r="340" spans="1:11" x14ac:dyDescent="0.25">
      <c r="A340">
        <v>2025</v>
      </c>
      <c r="B340" s="1" t="s">
        <v>249</v>
      </c>
      <c r="C340" s="1" t="s">
        <v>226</v>
      </c>
      <c r="D340" s="1" t="s">
        <v>216</v>
      </c>
      <c r="E340">
        <v>1244</v>
      </c>
      <c r="F340" s="1" t="s">
        <v>53</v>
      </c>
      <c r="G340" s="1" t="s">
        <v>250</v>
      </c>
      <c r="H340">
        <v>4.88</v>
      </c>
      <c r="I340">
        <v>103</v>
      </c>
      <c r="J340">
        <v>13</v>
      </c>
      <c r="K340">
        <v>501.5</v>
      </c>
    </row>
    <row r="341" spans="1:11" x14ac:dyDescent="0.25">
      <c r="A341">
        <v>2026</v>
      </c>
      <c r="B341" s="1" t="s">
        <v>249</v>
      </c>
      <c r="C341" s="1" t="s">
        <v>226</v>
      </c>
      <c r="D341" s="1" t="s">
        <v>216</v>
      </c>
      <c r="E341">
        <v>1244</v>
      </c>
      <c r="F341" s="1" t="s">
        <v>53</v>
      </c>
      <c r="G341" s="1" t="s">
        <v>250</v>
      </c>
      <c r="H341">
        <v>5.09</v>
      </c>
      <c r="I341">
        <v>111</v>
      </c>
      <c r="J341">
        <v>15</v>
      </c>
      <c r="K341">
        <v>566.1</v>
      </c>
    </row>
    <row r="342" spans="1:11" x14ac:dyDescent="0.25">
      <c r="A342">
        <v>2015</v>
      </c>
      <c r="B342" s="1" t="s">
        <v>251</v>
      </c>
      <c r="C342" s="1" t="s">
        <v>247</v>
      </c>
      <c r="D342" s="1" t="s">
        <v>158</v>
      </c>
      <c r="E342">
        <v>1421</v>
      </c>
      <c r="F342" s="1" t="s">
        <v>53</v>
      </c>
      <c r="G342" s="1" t="s">
        <v>252</v>
      </c>
      <c r="H342">
        <v>7.24</v>
      </c>
      <c r="I342">
        <v>88</v>
      </c>
      <c r="J342">
        <v>19</v>
      </c>
      <c r="K342">
        <v>639.70000000000005</v>
      </c>
    </row>
    <row r="343" spans="1:11" x14ac:dyDescent="0.25">
      <c r="A343">
        <v>2018</v>
      </c>
      <c r="B343" s="1" t="s">
        <v>251</v>
      </c>
      <c r="C343" s="1" t="s">
        <v>247</v>
      </c>
      <c r="D343" s="1" t="s">
        <v>158</v>
      </c>
      <c r="E343">
        <v>1421</v>
      </c>
      <c r="F343" s="1" t="s">
        <v>53</v>
      </c>
      <c r="G343" s="1" t="s">
        <v>252</v>
      </c>
      <c r="H343">
        <v>8.01</v>
      </c>
      <c r="I343">
        <v>102</v>
      </c>
      <c r="J343">
        <v>24</v>
      </c>
      <c r="K343">
        <v>814.2</v>
      </c>
    </row>
    <row r="344" spans="1:11" x14ac:dyDescent="0.25">
      <c r="A344">
        <v>2019</v>
      </c>
      <c r="B344" s="1" t="s">
        <v>251</v>
      </c>
      <c r="C344" s="1" t="s">
        <v>247</v>
      </c>
      <c r="D344" s="1" t="s">
        <v>158</v>
      </c>
      <c r="E344">
        <v>1421</v>
      </c>
      <c r="F344" s="1" t="s">
        <v>53</v>
      </c>
      <c r="G344" s="1" t="s">
        <v>252</v>
      </c>
      <c r="H344">
        <v>9.15</v>
      </c>
      <c r="I344">
        <v>115</v>
      </c>
      <c r="J344">
        <v>28</v>
      </c>
      <c r="K344">
        <v>1052.7</v>
      </c>
    </row>
    <row r="345" spans="1:11" x14ac:dyDescent="0.25">
      <c r="A345">
        <v>2020</v>
      </c>
      <c r="B345" s="1" t="s">
        <v>251</v>
      </c>
      <c r="C345" s="1" t="s">
        <v>247</v>
      </c>
      <c r="D345" s="1" t="s">
        <v>158</v>
      </c>
      <c r="E345">
        <v>1421</v>
      </c>
      <c r="F345" s="1" t="s">
        <v>53</v>
      </c>
      <c r="G345" s="1" t="s">
        <v>252</v>
      </c>
      <c r="H345">
        <v>2.4300000000000002</v>
      </c>
      <c r="I345">
        <v>31</v>
      </c>
      <c r="J345">
        <v>7</v>
      </c>
      <c r="K345">
        <v>75.400000000000006</v>
      </c>
    </row>
    <row r="346" spans="1:11" x14ac:dyDescent="0.25">
      <c r="A346">
        <v>2021</v>
      </c>
      <c r="B346" s="1" t="s">
        <v>251</v>
      </c>
      <c r="C346" s="1" t="s">
        <v>247</v>
      </c>
      <c r="D346" s="1" t="s">
        <v>158</v>
      </c>
      <c r="E346">
        <v>1421</v>
      </c>
      <c r="F346" s="1" t="s">
        <v>53</v>
      </c>
      <c r="G346" s="1" t="s">
        <v>252</v>
      </c>
      <c r="H346">
        <v>4.08</v>
      </c>
      <c r="I346">
        <v>55</v>
      </c>
      <c r="J346">
        <v>12</v>
      </c>
      <c r="K346">
        <v>224.3</v>
      </c>
    </row>
    <row r="347" spans="1:11" x14ac:dyDescent="0.25">
      <c r="A347">
        <v>2022</v>
      </c>
      <c r="B347" s="1" t="s">
        <v>251</v>
      </c>
      <c r="C347" s="1" t="s">
        <v>247</v>
      </c>
      <c r="D347" s="1" t="s">
        <v>158</v>
      </c>
      <c r="E347">
        <v>1421</v>
      </c>
      <c r="F347" s="1" t="s">
        <v>53</v>
      </c>
      <c r="G347" s="1" t="s">
        <v>252</v>
      </c>
      <c r="H347">
        <v>6.04</v>
      </c>
      <c r="I347">
        <v>86</v>
      </c>
      <c r="J347">
        <v>18</v>
      </c>
      <c r="K347">
        <v>519.79999999999995</v>
      </c>
    </row>
    <row r="348" spans="1:11" x14ac:dyDescent="0.25">
      <c r="A348">
        <v>2023</v>
      </c>
      <c r="B348" s="1" t="s">
        <v>251</v>
      </c>
      <c r="C348" s="1" t="s">
        <v>247</v>
      </c>
      <c r="D348" s="1" t="s">
        <v>158</v>
      </c>
      <c r="E348">
        <v>1421</v>
      </c>
      <c r="F348" s="1" t="s">
        <v>53</v>
      </c>
      <c r="G348" s="1" t="s">
        <v>252</v>
      </c>
      <c r="H348">
        <v>7.45</v>
      </c>
      <c r="I348">
        <v>101</v>
      </c>
      <c r="J348">
        <v>22</v>
      </c>
      <c r="K348">
        <v>754.2</v>
      </c>
    </row>
    <row r="349" spans="1:11" x14ac:dyDescent="0.25">
      <c r="A349">
        <v>2024</v>
      </c>
      <c r="B349" s="1" t="s">
        <v>251</v>
      </c>
      <c r="C349" s="1" t="s">
        <v>247</v>
      </c>
      <c r="D349" s="1" t="s">
        <v>158</v>
      </c>
      <c r="E349">
        <v>1421</v>
      </c>
      <c r="F349" s="1" t="s">
        <v>53</v>
      </c>
      <c r="G349" s="1" t="s">
        <v>252</v>
      </c>
      <c r="H349">
        <v>9.18</v>
      </c>
      <c r="I349">
        <v>110</v>
      </c>
      <c r="J349">
        <v>28</v>
      </c>
      <c r="K349">
        <v>1009</v>
      </c>
    </row>
    <row r="350" spans="1:11" x14ac:dyDescent="0.25">
      <c r="A350">
        <v>2025</v>
      </c>
      <c r="B350" s="1" t="s">
        <v>251</v>
      </c>
      <c r="C350" s="1" t="s">
        <v>247</v>
      </c>
      <c r="D350" s="1" t="s">
        <v>158</v>
      </c>
      <c r="E350">
        <v>1421</v>
      </c>
      <c r="F350" s="1" t="s">
        <v>53</v>
      </c>
      <c r="G350" s="1" t="s">
        <v>252</v>
      </c>
      <c r="H350">
        <v>9.32</v>
      </c>
      <c r="I350">
        <v>109</v>
      </c>
      <c r="J350">
        <v>26</v>
      </c>
      <c r="K350">
        <v>1012</v>
      </c>
    </row>
    <row r="351" spans="1:11" x14ac:dyDescent="0.25">
      <c r="A351">
        <v>2026</v>
      </c>
      <c r="B351" s="1" t="s">
        <v>251</v>
      </c>
      <c r="C351" s="1" t="s">
        <v>247</v>
      </c>
      <c r="D351" s="1" t="s">
        <v>158</v>
      </c>
      <c r="E351">
        <v>1421</v>
      </c>
      <c r="F351" s="1" t="s">
        <v>53</v>
      </c>
      <c r="G351" s="1" t="s">
        <v>252</v>
      </c>
      <c r="H351">
        <v>9.85</v>
      </c>
      <c r="I351">
        <v>129</v>
      </c>
      <c r="J351">
        <v>29</v>
      </c>
      <c r="K351">
        <v>1266.2</v>
      </c>
    </row>
    <row r="352" spans="1:11" x14ac:dyDescent="0.25">
      <c r="A352">
        <v>2015</v>
      </c>
      <c r="B352" s="1" t="s">
        <v>253</v>
      </c>
      <c r="C352" s="1" t="s">
        <v>143</v>
      </c>
      <c r="D352" s="1" t="s">
        <v>254</v>
      </c>
      <c r="E352">
        <v>2155</v>
      </c>
      <c r="F352" s="1" t="s">
        <v>144</v>
      </c>
      <c r="G352" s="1" t="s">
        <v>255</v>
      </c>
      <c r="H352">
        <v>3.49</v>
      </c>
      <c r="I352">
        <v>121</v>
      </c>
      <c r="J352">
        <v>9</v>
      </c>
      <c r="K352">
        <v>421.5</v>
      </c>
    </row>
    <row r="353" spans="1:11" x14ac:dyDescent="0.25">
      <c r="A353">
        <v>2018</v>
      </c>
      <c r="B353" s="1" t="s">
        <v>253</v>
      </c>
      <c r="C353" s="1" t="s">
        <v>143</v>
      </c>
      <c r="D353" s="1" t="s">
        <v>254</v>
      </c>
      <c r="E353">
        <v>2155</v>
      </c>
      <c r="F353" s="1" t="s">
        <v>144</v>
      </c>
      <c r="G353" s="1" t="s">
        <v>255</v>
      </c>
      <c r="H353">
        <v>4.01</v>
      </c>
      <c r="I353">
        <v>134</v>
      </c>
      <c r="J353">
        <v>11</v>
      </c>
      <c r="K353">
        <v>536.1</v>
      </c>
    </row>
    <row r="354" spans="1:11" x14ac:dyDescent="0.25">
      <c r="A354">
        <v>2019</v>
      </c>
      <c r="B354" s="1" t="s">
        <v>253</v>
      </c>
      <c r="C354" s="1" t="s">
        <v>143</v>
      </c>
      <c r="D354" s="1" t="s">
        <v>254</v>
      </c>
      <c r="E354">
        <v>2155</v>
      </c>
      <c r="F354" s="1" t="s">
        <v>144</v>
      </c>
      <c r="G354" s="1" t="s">
        <v>255</v>
      </c>
      <c r="H354">
        <v>3.84</v>
      </c>
      <c r="I354">
        <v>138</v>
      </c>
      <c r="J354">
        <v>9</v>
      </c>
      <c r="K354">
        <v>530.70000000000005</v>
      </c>
    </row>
    <row r="355" spans="1:11" x14ac:dyDescent="0.25">
      <c r="A355">
        <v>2020</v>
      </c>
      <c r="B355" s="1" t="s">
        <v>253</v>
      </c>
      <c r="C355" s="1" t="s">
        <v>143</v>
      </c>
      <c r="D355" s="1" t="s">
        <v>254</v>
      </c>
      <c r="E355">
        <v>2155</v>
      </c>
      <c r="F355" s="1" t="s">
        <v>144</v>
      </c>
      <c r="G355" s="1" t="s">
        <v>255</v>
      </c>
      <c r="H355">
        <v>1.22</v>
      </c>
      <c r="I355">
        <v>39</v>
      </c>
      <c r="J355">
        <v>4</v>
      </c>
      <c r="K355">
        <v>46.9</v>
      </c>
    </row>
    <row r="356" spans="1:11" x14ac:dyDescent="0.25">
      <c r="A356">
        <v>2021</v>
      </c>
      <c r="B356" s="1" t="s">
        <v>253</v>
      </c>
      <c r="C356" s="1" t="s">
        <v>143</v>
      </c>
      <c r="D356" s="1" t="s">
        <v>254</v>
      </c>
      <c r="E356">
        <v>2155</v>
      </c>
      <c r="F356" s="1" t="s">
        <v>144</v>
      </c>
      <c r="G356" s="1" t="s">
        <v>255</v>
      </c>
      <c r="H356">
        <v>1.93</v>
      </c>
      <c r="I356">
        <v>67</v>
      </c>
      <c r="J356">
        <v>5</v>
      </c>
      <c r="K356">
        <v>129.30000000000001</v>
      </c>
    </row>
    <row r="357" spans="1:11" x14ac:dyDescent="0.25">
      <c r="A357">
        <v>2022</v>
      </c>
      <c r="B357" s="1" t="s">
        <v>253</v>
      </c>
      <c r="C357" s="1" t="s">
        <v>143</v>
      </c>
      <c r="D357" s="1" t="s">
        <v>254</v>
      </c>
      <c r="E357">
        <v>2155</v>
      </c>
      <c r="F357" s="1" t="s">
        <v>144</v>
      </c>
      <c r="G357" s="1" t="s">
        <v>255</v>
      </c>
      <c r="H357">
        <v>2.94</v>
      </c>
      <c r="I357">
        <v>114</v>
      </c>
      <c r="J357">
        <v>10</v>
      </c>
      <c r="K357">
        <v>336</v>
      </c>
    </row>
    <row r="358" spans="1:11" x14ac:dyDescent="0.25">
      <c r="A358">
        <v>2023</v>
      </c>
      <c r="B358" s="1" t="s">
        <v>253</v>
      </c>
      <c r="C358" s="1" t="s">
        <v>143</v>
      </c>
      <c r="D358" s="1" t="s">
        <v>254</v>
      </c>
      <c r="E358">
        <v>2155</v>
      </c>
      <c r="F358" s="1" t="s">
        <v>144</v>
      </c>
      <c r="G358" s="1" t="s">
        <v>255</v>
      </c>
      <c r="H358">
        <v>3.8</v>
      </c>
      <c r="I358">
        <v>129</v>
      </c>
      <c r="J358">
        <v>12</v>
      </c>
      <c r="K358">
        <v>490.6</v>
      </c>
    </row>
    <row r="359" spans="1:11" x14ac:dyDescent="0.25">
      <c r="A359">
        <v>2024</v>
      </c>
      <c r="B359" s="1" t="s">
        <v>253</v>
      </c>
      <c r="C359" s="1" t="s">
        <v>143</v>
      </c>
      <c r="D359" s="1" t="s">
        <v>254</v>
      </c>
      <c r="E359">
        <v>2155</v>
      </c>
      <c r="F359" s="1" t="s">
        <v>144</v>
      </c>
      <c r="G359" s="1" t="s">
        <v>255</v>
      </c>
      <c r="H359">
        <v>4.33</v>
      </c>
      <c r="I359">
        <v>136</v>
      </c>
      <c r="J359">
        <v>12</v>
      </c>
      <c r="K359">
        <v>589</v>
      </c>
    </row>
    <row r="360" spans="1:11" x14ac:dyDescent="0.25">
      <c r="A360">
        <v>2025</v>
      </c>
      <c r="B360" s="1" t="s">
        <v>253</v>
      </c>
      <c r="C360" s="1" t="s">
        <v>143</v>
      </c>
      <c r="D360" s="1" t="s">
        <v>254</v>
      </c>
      <c r="E360">
        <v>2155</v>
      </c>
      <c r="F360" s="1" t="s">
        <v>144</v>
      </c>
      <c r="G360" s="1" t="s">
        <v>255</v>
      </c>
      <c r="H360">
        <v>4.03</v>
      </c>
      <c r="I360">
        <v>160</v>
      </c>
      <c r="J360">
        <v>14</v>
      </c>
      <c r="K360">
        <v>645.9</v>
      </c>
    </row>
    <row r="361" spans="1:11" x14ac:dyDescent="0.25">
      <c r="A361">
        <v>2026</v>
      </c>
      <c r="B361" s="1" t="s">
        <v>253</v>
      </c>
      <c r="C361" s="1" t="s">
        <v>143</v>
      </c>
      <c r="D361" s="1" t="s">
        <v>254</v>
      </c>
      <c r="E361">
        <v>2155</v>
      </c>
      <c r="F361" s="1" t="s">
        <v>144</v>
      </c>
      <c r="G361" s="1" t="s">
        <v>255</v>
      </c>
      <c r="H361">
        <v>4.43</v>
      </c>
      <c r="I361">
        <v>134</v>
      </c>
      <c r="J361">
        <v>13</v>
      </c>
      <c r="K361">
        <v>594.6</v>
      </c>
    </row>
    <row r="362" spans="1:11" x14ac:dyDescent="0.25">
      <c r="A362">
        <v>2015</v>
      </c>
      <c r="B362" s="1" t="s">
        <v>256</v>
      </c>
      <c r="C362" s="1" t="s">
        <v>257</v>
      </c>
      <c r="D362" s="1" t="s">
        <v>258</v>
      </c>
      <c r="E362">
        <v>1364</v>
      </c>
      <c r="F362" s="1" t="s">
        <v>259</v>
      </c>
      <c r="G362" s="1" t="s">
        <v>260</v>
      </c>
      <c r="H362">
        <v>3.78</v>
      </c>
      <c r="I362">
        <v>92</v>
      </c>
      <c r="J362">
        <v>11</v>
      </c>
      <c r="K362">
        <v>349.1</v>
      </c>
    </row>
    <row r="363" spans="1:11" x14ac:dyDescent="0.25">
      <c r="A363">
        <v>2018</v>
      </c>
      <c r="B363" s="1" t="s">
        <v>256</v>
      </c>
      <c r="C363" s="1" t="s">
        <v>257</v>
      </c>
      <c r="D363" s="1" t="s">
        <v>258</v>
      </c>
      <c r="E363">
        <v>1364</v>
      </c>
      <c r="F363" s="1" t="s">
        <v>259</v>
      </c>
      <c r="G363" s="1" t="s">
        <v>260</v>
      </c>
      <c r="H363">
        <v>4.26</v>
      </c>
      <c r="I363">
        <v>96</v>
      </c>
      <c r="J363">
        <v>12</v>
      </c>
      <c r="K363">
        <v>406.8</v>
      </c>
    </row>
    <row r="364" spans="1:11" x14ac:dyDescent="0.25">
      <c r="A364">
        <v>2019</v>
      </c>
      <c r="B364" s="1" t="s">
        <v>256</v>
      </c>
      <c r="C364" s="1" t="s">
        <v>257</v>
      </c>
      <c r="D364" s="1" t="s">
        <v>258</v>
      </c>
      <c r="E364">
        <v>1364</v>
      </c>
      <c r="F364" s="1" t="s">
        <v>259</v>
      </c>
      <c r="G364" s="1" t="s">
        <v>260</v>
      </c>
      <c r="H364">
        <v>4.5</v>
      </c>
      <c r="I364">
        <v>98</v>
      </c>
      <c r="J364">
        <v>13</v>
      </c>
      <c r="K364">
        <v>439.8</v>
      </c>
    </row>
    <row r="365" spans="1:11" x14ac:dyDescent="0.25">
      <c r="A365">
        <v>2020</v>
      </c>
      <c r="B365" s="1" t="s">
        <v>256</v>
      </c>
      <c r="C365" s="1" t="s">
        <v>257</v>
      </c>
      <c r="D365" s="1" t="s">
        <v>258</v>
      </c>
      <c r="E365">
        <v>1364</v>
      </c>
      <c r="F365" s="1" t="s">
        <v>259</v>
      </c>
      <c r="G365" s="1" t="s">
        <v>260</v>
      </c>
      <c r="H365">
        <v>1.39</v>
      </c>
      <c r="I365">
        <v>31</v>
      </c>
      <c r="J365">
        <v>2</v>
      </c>
      <c r="K365">
        <v>43.1</v>
      </c>
    </row>
    <row r="366" spans="1:11" x14ac:dyDescent="0.25">
      <c r="A366">
        <v>2021</v>
      </c>
      <c r="B366" s="1" t="s">
        <v>256</v>
      </c>
      <c r="C366" s="1" t="s">
        <v>257</v>
      </c>
      <c r="D366" s="1" t="s">
        <v>258</v>
      </c>
      <c r="E366">
        <v>1364</v>
      </c>
      <c r="F366" s="1" t="s">
        <v>259</v>
      </c>
      <c r="G366" s="1" t="s">
        <v>260</v>
      </c>
      <c r="H366">
        <v>2.38</v>
      </c>
      <c r="I366">
        <v>44</v>
      </c>
      <c r="J366">
        <v>6</v>
      </c>
      <c r="K366">
        <v>105.5</v>
      </c>
    </row>
    <row r="367" spans="1:11" x14ac:dyDescent="0.25">
      <c r="A367">
        <v>2022</v>
      </c>
      <c r="B367" s="1" t="s">
        <v>256</v>
      </c>
      <c r="C367" s="1" t="s">
        <v>257</v>
      </c>
      <c r="D367" s="1" t="s">
        <v>258</v>
      </c>
      <c r="E367">
        <v>1364</v>
      </c>
      <c r="F367" s="1" t="s">
        <v>259</v>
      </c>
      <c r="G367" s="1" t="s">
        <v>260</v>
      </c>
      <c r="H367">
        <v>3.34</v>
      </c>
      <c r="I367">
        <v>79</v>
      </c>
      <c r="J367">
        <v>10</v>
      </c>
      <c r="K367">
        <v>264.5</v>
      </c>
    </row>
    <row r="368" spans="1:11" x14ac:dyDescent="0.25">
      <c r="A368">
        <v>2023</v>
      </c>
      <c r="B368" s="1" t="s">
        <v>256</v>
      </c>
      <c r="C368" s="1" t="s">
        <v>257</v>
      </c>
      <c r="D368" s="1" t="s">
        <v>258</v>
      </c>
      <c r="E368">
        <v>1364</v>
      </c>
      <c r="F368" s="1" t="s">
        <v>259</v>
      </c>
      <c r="G368" s="1" t="s">
        <v>260</v>
      </c>
      <c r="H368">
        <v>4.54</v>
      </c>
      <c r="I368">
        <v>95</v>
      </c>
      <c r="J368">
        <v>14</v>
      </c>
      <c r="K368">
        <v>432.3</v>
      </c>
    </row>
    <row r="369" spans="1:11" x14ac:dyDescent="0.25">
      <c r="A369">
        <v>2024</v>
      </c>
      <c r="B369" s="1" t="s">
        <v>256</v>
      </c>
      <c r="C369" s="1" t="s">
        <v>257</v>
      </c>
      <c r="D369" s="1" t="s">
        <v>258</v>
      </c>
      <c r="E369">
        <v>1364</v>
      </c>
      <c r="F369" s="1" t="s">
        <v>259</v>
      </c>
      <c r="G369" s="1" t="s">
        <v>260</v>
      </c>
      <c r="H369">
        <v>4.84</v>
      </c>
      <c r="I369">
        <v>99</v>
      </c>
      <c r="J369">
        <v>16</v>
      </c>
      <c r="K369">
        <v>479.2</v>
      </c>
    </row>
    <row r="370" spans="1:11" x14ac:dyDescent="0.25">
      <c r="A370">
        <v>2025</v>
      </c>
      <c r="B370" s="1" t="s">
        <v>256</v>
      </c>
      <c r="C370" s="1" t="s">
        <v>257</v>
      </c>
      <c r="D370" s="1" t="s">
        <v>258</v>
      </c>
      <c r="E370">
        <v>1364</v>
      </c>
      <c r="F370" s="1" t="s">
        <v>259</v>
      </c>
      <c r="G370" s="1" t="s">
        <v>260</v>
      </c>
      <c r="H370">
        <v>4.75</v>
      </c>
      <c r="I370">
        <v>118</v>
      </c>
      <c r="J370">
        <v>14</v>
      </c>
      <c r="K370">
        <v>559.79999999999995</v>
      </c>
    </row>
    <row r="371" spans="1:11" x14ac:dyDescent="0.25">
      <c r="A371">
        <v>2026</v>
      </c>
      <c r="B371" s="1" t="s">
        <v>256</v>
      </c>
      <c r="C371" s="1" t="s">
        <v>257</v>
      </c>
      <c r="D371" s="1" t="s">
        <v>258</v>
      </c>
      <c r="E371">
        <v>1364</v>
      </c>
      <c r="F371" s="1" t="s">
        <v>259</v>
      </c>
      <c r="G371" s="1" t="s">
        <v>260</v>
      </c>
      <c r="H371">
        <v>5.18</v>
      </c>
      <c r="I371">
        <v>114</v>
      </c>
      <c r="J371">
        <v>16</v>
      </c>
      <c r="K371">
        <v>588.29999999999995</v>
      </c>
    </row>
    <row r="372" spans="1:11" x14ac:dyDescent="0.25">
      <c r="A372">
        <v>2015</v>
      </c>
      <c r="B372" s="1" t="s">
        <v>261</v>
      </c>
      <c r="C372" s="1" t="s">
        <v>171</v>
      </c>
      <c r="D372" s="1" t="s">
        <v>262</v>
      </c>
      <c r="E372">
        <v>480</v>
      </c>
      <c r="F372" s="1" t="s">
        <v>32</v>
      </c>
      <c r="G372" s="1" t="s">
        <v>263</v>
      </c>
      <c r="H372">
        <v>7.21</v>
      </c>
      <c r="I372">
        <v>57</v>
      </c>
      <c r="J372">
        <v>20</v>
      </c>
      <c r="K372">
        <v>410.2</v>
      </c>
    </row>
    <row r="373" spans="1:11" x14ac:dyDescent="0.25">
      <c r="A373">
        <v>2018</v>
      </c>
      <c r="B373" s="1" t="s">
        <v>261</v>
      </c>
      <c r="C373" s="1" t="s">
        <v>171</v>
      </c>
      <c r="D373" s="1" t="s">
        <v>262</v>
      </c>
      <c r="E373">
        <v>480</v>
      </c>
      <c r="F373" s="1" t="s">
        <v>32</v>
      </c>
      <c r="G373" s="1" t="s">
        <v>263</v>
      </c>
      <c r="H373">
        <v>8.2200000000000006</v>
      </c>
      <c r="I373">
        <v>70</v>
      </c>
      <c r="J373">
        <v>24</v>
      </c>
      <c r="K373">
        <v>576.70000000000005</v>
      </c>
    </row>
    <row r="374" spans="1:11" x14ac:dyDescent="0.25">
      <c r="A374">
        <v>2019</v>
      </c>
      <c r="B374" s="1" t="s">
        <v>261</v>
      </c>
      <c r="C374" s="1" t="s">
        <v>171</v>
      </c>
      <c r="D374" s="1" t="s">
        <v>262</v>
      </c>
      <c r="E374">
        <v>480</v>
      </c>
      <c r="F374" s="1" t="s">
        <v>32</v>
      </c>
      <c r="G374" s="1" t="s">
        <v>263</v>
      </c>
      <c r="H374">
        <v>8.7799999999999994</v>
      </c>
      <c r="I374">
        <v>69</v>
      </c>
      <c r="J374">
        <v>25</v>
      </c>
      <c r="K374">
        <v>609.29999999999995</v>
      </c>
    </row>
    <row r="375" spans="1:11" x14ac:dyDescent="0.25">
      <c r="A375">
        <v>2020</v>
      </c>
      <c r="B375" s="1" t="s">
        <v>261</v>
      </c>
      <c r="C375" s="1" t="s">
        <v>171</v>
      </c>
      <c r="D375" s="1" t="s">
        <v>262</v>
      </c>
      <c r="E375">
        <v>480</v>
      </c>
      <c r="F375" s="1" t="s">
        <v>32</v>
      </c>
      <c r="G375" s="1" t="s">
        <v>263</v>
      </c>
      <c r="H375">
        <v>2.5299999999999998</v>
      </c>
      <c r="I375">
        <v>20</v>
      </c>
      <c r="J375">
        <v>6</v>
      </c>
      <c r="K375">
        <v>51.5</v>
      </c>
    </row>
    <row r="376" spans="1:11" x14ac:dyDescent="0.25">
      <c r="A376">
        <v>2021</v>
      </c>
      <c r="B376" s="1" t="s">
        <v>261</v>
      </c>
      <c r="C376" s="1" t="s">
        <v>171</v>
      </c>
      <c r="D376" s="1" t="s">
        <v>262</v>
      </c>
      <c r="E376">
        <v>480</v>
      </c>
      <c r="F376" s="1" t="s">
        <v>32</v>
      </c>
      <c r="G376" s="1" t="s">
        <v>263</v>
      </c>
      <c r="H376">
        <v>4.33</v>
      </c>
      <c r="I376">
        <v>35</v>
      </c>
      <c r="J376">
        <v>11</v>
      </c>
      <c r="K376">
        <v>151.9</v>
      </c>
    </row>
    <row r="377" spans="1:11" x14ac:dyDescent="0.25">
      <c r="A377">
        <v>2022</v>
      </c>
      <c r="B377" s="1" t="s">
        <v>261</v>
      </c>
      <c r="C377" s="1" t="s">
        <v>171</v>
      </c>
      <c r="D377" s="1" t="s">
        <v>262</v>
      </c>
      <c r="E377">
        <v>480</v>
      </c>
      <c r="F377" s="1" t="s">
        <v>32</v>
      </c>
      <c r="G377" s="1" t="s">
        <v>263</v>
      </c>
      <c r="H377">
        <v>5.97</v>
      </c>
      <c r="I377">
        <v>53</v>
      </c>
      <c r="J377">
        <v>17</v>
      </c>
      <c r="K377">
        <v>318.10000000000002</v>
      </c>
    </row>
    <row r="378" spans="1:11" x14ac:dyDescent="0.25">
      <c r="A378">
        <v>2023</v>
      </c>
      <c r="B378" s="1" t="s">
        <v>261</v>
      </c>
      <c r="C378" s="1" t="s">
        <v>171</v>
      </c>
      <c r="D378" s="1" t="s">
        <v>262</v>
      </c>
      <c r="E378">
        <v>480</v>
      </c>
      <c r="F378" s="1" t="s">
        <v>32</v>
      </c>
      <c r="G378" s="1" t="s">
        <v>263</v>
      </c>
      <c r="H378">
        <v>8.18</v>
      </c>
      <c r="I378">
        <v>69</v>
      </c>
      <c r="J378">
        <v>23</v>
      </c>
      <c r="K378">
        <v>563.70000000000005</v>
      </c>
    </row>
    <row r="379" spans="1:11" x14ac:dyDescent="0.25">
      <c r="A379">
        <v>2024</v>
      </c>
      <c r="B379" s="1" t="s">
        <v>261</v>
      </c>
      <c r="C379" s="1" t="s">
        <v>171</v>
      </c>
      <c r="D379" s="1" t="s">
        <v>262</v>
      </c>
      <c r="E379">
        <v>480</v>
      </c>
      <c r="F379" s="1" t="s">
        <v>32</v>
      </c>
      <c r="G379" s="1" t="s">
        <v>263</v>
      </c>
      <c r="H379">
        <v>8.44</v>
      </c>
      <c r="I379">
        <v>80</v>
      </c>
      <c r="J379">
        <v>25</v>
      </c>
      <c r="K379">
        <v>678.4</v>
      </c>
    </row>
    <row r="380" spans="1:11" x14ac:dyDescent="0.25">
      <c r="A380">
        <v>2025</v>
      </c>
      <c r="B380" s="1" t="s">
        <v>261</v>
      </c>
      <c r="C380" s="1" t="s">
        <v>171</v>
      </c>
      <c r="D380" s="1" t="s">
        <v>262</v>
      </c>
      <c r="E380">
        <v>480</v>
      </c>
      <c r="F380" s="1" t="s">
        <v>32</v>
      </c>
      <c r="G380" s="1" t="s">
        <v>263</v>
      </c>
      <c r="H380">
        <v>9.1999999999999993</v>
      </c>
      <c r="I380">
        <v>72</v>
      </c>
      <c r="J380">
        <v>27</v>
      </c>
      <c r="K380">
        <v>662.5</v>
      </c>
    </row>
    <row r="381" spans="1:11" x14ac:dyDescent="0.25">
      <c r="A381">
        <v>2026</v>
      </c>
      <c r="B381" s="1" t="s">
        <v>261</v>
      </c>
      <c r="C381" s="1" t="s">
        <v>171</v>
      </c>
      <c r="D381" s="1" t="s">
        <v>262</v>
      </c>
      <c r="E381">
        <v>480</v>
      </c>
      <c r="F381" s="1" t="s">
        <v>32</v>
      </c>
      <c r="G381" s="1" t="s">
        <v>263</v>
      </c>
      <c r="H381">
        <v>9.09</v>
      </c>
      <c r="I381">
        <v>82</v>
      </c>
      <c r="J381">
        <v>26</v>
      </c>
      <c r="K381">
        <v>742.6</v>
      </c>
    </row>
    <row r="382" spans="1:11" x14ac:dyDescent="0.25">
      <c r="A382">
        <v>2015</v>
      </c>
      <c r="B382" s="1" t="s">
        <v>264</v>
      </c>
      <c r="C382" s="1" t="s">
        <v>138</v>
      </c>
      <c r="D382" s="1" t="s">
        <v>158</v>
      </c>
      <c r="E382">
        <v>5350</v>
      </c>
      <c r="F382" s="1" t="s">
        <v>53</v>
      </c>
      <c r="G382" s="1" t="s">
        <v>265</v>
      </c>
      <c r="H382">
        <v>3.17</v>
      </c>
      <c r="I382">
        <v>211</v>
      </c>
      <c r="J382">
        <v>9</v>
      </c>
      <c r="K382">
        <v>667.9</v>
      </c>
    </row>
    <row r="383" spans="1:11" x14ac:dyDescent="0.25">
      <c r="A383">
        <v>2018</v>
      </c>
      <c r="B383" s="1" t="s">
        <v>264</v>
      </c>
      <c r="C383" s="1" t="s">
        <v>138</v>
      </c>
      <c r="D383" s="1" t="s">
        <v>158</v>
      </c>
      <c r="E383">
        <v>5350</v>
      </c>
      <c r="F383" s="1" t="s">
        <v>53</v>
      </c>
      <c r="G383" s="1" t="s">
        <v>265</v>
      </c>
      <c r="H383">
        <v>3.24</v>
      </c>
      <c r="I383">
        <v>249</v>
      </c>
      <c r="J383">
        <v>9</v>
      </c>
      <c r="K383">
        <v>806.8</v>
      </c>
    </row>
    <row r="384" spans="1:11" x14ac:dyDescent="0.25">
      <c r="A384">
        <v>2019</v>
      </c>
      <c r="B384" s="1" t="s">
        <v>264</v>
      </c>
      <c r="C384" s="1" t="s">
        <v>138</v>
      </c>
      <c r="D384" s="1" t="s">
        <v>158</v>
      </c>
      <c r="E384">
        <v>5350</v>
      </c>
      <c r="F384" s="1" t="s">
        <v>53</v>
      </c>
      <c r="G384" s="1" t="s">
        <v>265</v>
      </c>
      <c r="H384">
        <v>3.92</v>
      </c>
      <c r="I384">
        <v>236</v>
      </c>
      <c r="J384">
        <v>12</v>
      </c>
      <c r="K384">
        <v>923</v>
      </c>
    </row>
    <row r="385" spans="1:11" x14ac:dyDescent="0.25">
      <c r="A385">
        <v>2020</v>
      </c>
      <c r="B385" s="1" t="s">
        <v>264</v>
      </c>
      <c r="C385" s="1" t="s">
        <v>138</v>
      </c>
      <c r="D385" s="1" t="s">
        <v>158</v>
      </c>
      <c r="E385">
        <v>5350</v>
      </c>
      <c r="F385" s="1" t="s">
        <v>53</v>
      </c>
      <c r="G385" s="1" t="s">
        <v>265</v>
      </c>
      <c r="H385">
        <v>1.17</v>
      </c>
      <c r="I385">
        <v>85</v>
      </c>
      <c r="J385">
        <v>3</v>
      </c>
      <c r="K385">
        <v>100.3</v>
      </c>
    </row>
    <row r="386" spans="1:11" x14ac:dyDescent="0.25">
      <c r="A386">
        <v>2021</v>
      </c>
      <c r="B386" s="1" t="s">
        <v>264</v>
      </c>
      <c r="C386" s="1" t="s">
        <v>138</v>
      </c>
      <c r="D386" s="1" t="s">
        <v>158</v>
      </c>
      <c r="E386">
        <v>5350</v>
      </c>
      <c r="F386" s="1" t="s">
        <v>53</v>
      </c>
      <c r="G386" s="1" t="s">
        <v>265</v>
      </c>
      <c r="H386">
        <v>1.97</v>
      </c>
      <c r="I386">
        <v>121</v>
      </c>
      <c r="J386">
        <v>6</v>
      </c>
      <c r="K386">
        <v>238.4</v>
      </c>
    </row>
    <row r="387" spans="1:11" x14ac:dyDescent="0.25">
      <c r="A387">
        <v>2022</v>
      </c>
      <c r="B387" s="1" t="s">
        <v>264</v>
      </c>
      <c r="C387" s="1" t="s">
        <v>138</v>
      </c>
      <c r="D387" s="1" t="s">
        <v>158</v>
      </c>
      <c r="E387">
        <v>5350</v>
      </c>
      <c r="F387" s="1" t="s">
        <v>53</v>
      </c>
      <c r="G387" s="1" t="s">
        <v>265</v>
      </c>
      <c r="H387">
        <v>2.75</v>
      </c>
      <c r="I387">
        <v>179</v>
      </c>
      <c r="J387">
        <v>7</v>
      </c>
      <c r="K387">
        <v>494</v>
      </c>
    </row>
    <row r="388" spans="1:11" x14ac:dyDescent="0.25">
      <c r="A388">
        <v>2023</v>
      </c>
      <c r="B388" s="1" t="s">
        <v>264</v>
      </c>
      <c r="C388" s="1" t="s">
        <v>138</v>
      </c>
      <c r="D388" s="1" t="s">
        <v>158</v>
      </c>
      <c r="E388">
        <v>5350</v>
      </c>
      <c r="F388" s="1" t="s">
        <v>53</v>
      </c>
      <c r="G388" s="1" t="s">
        <v>265</v>
      </c>
      <c r="H388">
        <v>3.6</v>
      </c>
      <c r="I388">
        <v>239</v>
      </c>
      <c r="J388">
        <v>11</v>
      </c>
      <c r="K388">
        <v>859.2</v>
      </c>
    </row>
    <row r="389" spans="1:11" x14ac:dyDescent="0.25">
      <c r="A389">
        <v>2024</v>
      </c>
      <c r="B389" s="1" t="s">
        <v>264</v>
      </c>
      <c r="C389" s="1" t="s">
        <v>138</v>
      </c>
      <c r="D389" s="1" t="s">
        <v>158</v>
      </c>
      <c r="E389">
        <v>5350</v>
      </c>
      <c r="F389" s="1" t="s">
        <v>53</v>
      </c>
      <c r="G389" s="1" t="s">
        <v>265</v>
      </c>
      <c r="H389">
        <v>3.7</v>
      </c>
      <c r="I389">
        <v>244</v>
      </c>
      <c r="J389">
        <v>12</v>
      </c>
      <c r="K389">
        <v>902.8</v>
      </c>
    </row>
    <row r="390" spans="1:11" x14ac:dyDescent="0.25">
      <c r="A390">
        <v>2025</v>
      </c>
      <c r="B390" s="1" t="s">
        <v>264</v>
      </c>
      <c r="C390" s="1" t="s">
        <v>138</v>
      </c>
      <c r="D390" s="1" t="s">
        <v>158</v>
      </c>
      <c r="E390">
        <v>5350</v>
      </c>
      <c r="F390" s="1" t="s">
        <v>53</v>
      </c>
      <c r="G390" s="1" t="s">
        <v>265</v>
      </c>
      <c r="H390">
        <v>4.32</v>
      </c>
      <c r="I390">
        <v>273</v>
      </c>
      <c r="J390">
        <v>12</v>
      </c>
      <c r="K390">
        <v>1178.0999999999999</v>
      </c>
    </row>
    <row r="391" spans="1:11" x14ac:dyDescent="0.25">
      <c r="A391">
        <v>2026</v>
      </c>
      <c r="B391" s="1" t="s">
        <v>264</v>
      </c>
      <c r="C391" s="1" t="s">
        <v>138</v>
      </c>
      <c r="D391" s="1" t="s">
        <v>158</v>
      </c>
      <c r="E391">
        <v>5350</v>
      </c>
      <c r="F391" s="1" t="s">
        <v>53</v>
      </c>
      <c r="G391" s="1" t="s">
        <v>265</v>
      </c>
      <c r="H391">
        <v>4.42</v>
      </c>
      <c r="I391">
        <v>303</v>
      </c>
      <c r="J391">
        <v>13</v>
      </c>
      <c r="K391">
        <v>1340</v>
      </c>
    </row>
    <row r="392" spans="1:11" x14ac:dyDescent="0.25">
      <c r="A392">
        <v>2015</v>
      </c>
      <c r="B392" s="1" t="s">
        <v>266</v>
      </c>
      <c r="C392" s="1" t="s">
        <v>174</v>
      </c>
      <c r="D392" s="1" t="s">
        <v>267</v>
      </c>
      <c r="E392">
        <v>1759</v>
      </c>
      <c r="F392" s="1" t="s">
        <v>15</v>
      </c>
      <c r="G392" s="1" t="s">
        <v>268</v>
      </c>
      <c r="H392">
        <v>2.84</v>
      </c>
      <c r="I392">
        <v>102</v>
      </c>
      <c r="J392">
        <v>8</v>
      </c>
      <c r="K392">
        <v>290.8</v>
      </c>
    </row>
    <row r="393" spans="1:11" x14ac:dyDescent="0.25">
      <c r="A393">
        <v>2018</v>
      </c>
      <c r="B393" s="1" t="s">
        <v>266</v>
      </c>
      <c r="C393" s="1" t="s">
        <v>174</v>
      </c>
      <c r="D393" s="1" t="s">
        <v>267</v>
      </c>
      <c r="E393">
        <v>1759</v>
      </c>
      <c r="F393" s="1" t="s">
        <v>15</v>
      </c>
      <c r="G393" s="1" t="s">
        <v>268</v>
      </c>
      <c r="H393">
        <v>3.23</v>
      </c>
      <c r="I393">
        <v>112</v>
      </c>
      <c r="J393">
        <v>9</v>
      </c>
      <c r="K393">
        <v>360.7</v>
      </c>
    </row>
    <row r="394" spans="1:11" x14ac:dyDescent="0.25">
      <c r="A394">
        <v>2019</v>
      </c>
      <c r="B394" s="1" t="s">
        <v>266</v>
      </c>
      <c r="C394" s="1" t="s">
        <v>174</v>
      </c>
      <c r="D394" s="1" t="s">
        <v>267</v>
      </c>
      <c r="E394">
        <v>1759</v>
      </c>
      <c r="F394" s="1" t="s">
        <v>15</v>
      </c>
      <c r="G394" s="1" t="s">
        <v>268</v>
      </c>
      <c r="H394">
        <v>3.44</v>
      </c>
      <c r="I394">
        <v>113</v>
      </c>
      <c r="J394">
        <v>11</v>
      </c>
      <c r="K394">
        <v>388.9</v>
      </c>
    </row>
    <row r="395" spans="1:11" x14ac:dyDescent="0.25">
      <c r="A395">
        <v>2020</v>
      </c>
      <c r="B395" s="1" t="s">
        <v>266</v>
      </c>
      <c r="C395" s="1" t="s">
        <v>174</v>
      </c>
      <c r="D395" s="1" t="s">
        <v>267</v>
      </c>
      <c r="E395">
        <v>1759</v>
      </c>
      <c r="F395" s="1" t="s">
        <v>15</v>
      </c>
      <c r="G395" s="1" t="s">
        <v>268</v>
      </c>
      <c r="H395">
        <v>0.99</v>
      </c>
      <c r="I395">
        <v>36</v>
      </c>
      <c r="J395">
        <v>2</v>
      </c>
      <c r="K395">
        <v>35.299999999999997</v>
      </c>
    </row>
    <row r="396" spans="1:11" x14ac:dyDescent="0.25">
      <c r="A396">
        <v>2021</v>
      </c>
      <c r="B396" s="1" t="s">
        <v>266</v>
      </c>
      <c r="C396" s="1" t="s">
        <v>174</v>
      </c>
      <c r="D396" s="1" t="s">
        <v>267</v>
      </c>
      <c r="E396">
        <v>1759</v>
      </c>
      <c r="F396" s="1" t="s">
        <v>15</v>
      </c>
      <c r="G396" s="1" t="s">
        <v>268</v>
      </c>
      <c r="H396">
        <v>1.74</v>
      </c>
      <c r="I396">
        <v>53</v>
      </c>
      <c r="J396">
        <v>6</v>
      </c>
      <c r="K396">
        <v>92.4</v>
      </c>
    </row>
    <row r="397" spans="1:11" x14ac:dyDescent="0.25">
      <c r="A397">
        <v>2022</v>
      </c>
      <c r="B397" s="1" t="s">
        <v>266</v>
      </c>
      <c r="C397" s="1" t="s">
        <v>174</v>
      </c>
      <c r="D397" s="1" t="s">
        <v>267</v>
      </c>
      <c r="E397">
        <v>1759</v>
      </c>
      <c r="F397" s="1" t="s">
        <v>15</v>
      </c>
      <c r="G397" s="1" t="s">
        <v>268</v>
      </c>
      <c r="H397">
        <v>2.5099999999999998</v>
      </c>
      <c r="I397">
        <v>97</v>
      </c>
      <c r="J397">
        <v>7</v>
      </c>
      <c r="K397">
        <v>243.6</v>
      </c>
    </row>
    <row r="398" spans="1:11" x14ac:dyDescent="0.25">
      <c r="A398">
        <v>2023</v>
      </c>
      <c r="B398" s="1" t="s">
        <v>266</v>
      </c>
      <c r="C398" s="1" t="s">
        <v>174</v>
      </c>
      <c r="D398" s="1" t="s">
        <v>267</v>
      </c>
      <c r="E398">
        <v>1759</v>
      </c>
      <c r="F398" s="1" t="s">
        <v>15</v>
      </c>
      <c r="G398" s="1" t="s">
        <v>268</v>
      </c>
      <c r="H398">
        <v>3.26</v>
      </c>
      <c r="I398">
        <v>128</v>
      </c>
      <c r="J398">
        <v>9</v>
      </c>
      <c r="K398">
        <v>417.9</v>
      </c>
    </row>
    <row r="399" spans="1:11" x14ac:dyDescent="0.25">
      <c r="A399">
        <v>2024</v>
      </c>
      <c r="B399" s="1" t="s">
        <v>266</v>
      </c>
      <c r="C399" s="1" t="s">
        <v>174</v>
      </c>
      <c r="D399" s="1" t="s">
        <v>267</v>
      </c>
      <c r="E399">
        <v>1759</v>
      </c>
      <c r="F399" s="1" t="s">
        <v>15</v>
      </c>
      <c r="G399" s="1" t="s">
        <v>268</v>
      </c>
      <c r="H399">
        <v>3.79</v>
      </c>
      <c r="I399">
        <v>127</v>
      </c>
      <c r="J399">
        <v>11</v>
      </c>
      <c r="K399">
        <v>480.3</v>
      </c>
    </row>
    <row r="400" spans="1:11" x14ac:dyDescent="0.25">
      <c r="A400">
        <v>2025</v>
      </c>
      <c r="B400" s="1" t="s">
        <v>266</v>
      </c>
      <c r="C400" s="1" t="s">
        <v>174</v>
      </c>
      <c r="D400" s="1" t="s">
        <v>267</v>
      </c>
      <c r="E400">
        <v>1759</v>
      </c>
      <c r="F400" s="1" t="s">
        <v>15</v>
      </c>
      <c r="G400" s="1" t="s">
        <v>268</v>
      </c>
      <c r="H400">
        <v>3.79</v>
      </c>
      <c r="I400">
        <v>139</v>
      </c>
      <c r="J400">
        <v>10</v>
      </c>
      <c r="K400">
        <v>528.1</v>
      </c>
    </row>
    <row r="401" spans="1:11" x14ac:dyDescent="0.25">
      <c r="A401">
        <v>2026</v>
      </c>
      <c r="B401" s="1" t="s">
        <v>266</v>
      </c>
      <c r="C401" s="1" t="s">
        <v>174</v>
      </c>
      <c r="D401" s="1" t="s">
        <v>267</v>
      </c>
      <c r="E401">
        <v>1759</v>
      </c>
      <c r="F401" s="1" t="s">
        <v>15</v>
      </c>
      <c r="G401" s="1" t="s">
        <v>268</v>
      </c>
      <c r="H401">
        <v>3.7</v>
      </c>
      <c r="I401">
        <v>130</v>
      </c>
      <c r="J401">
        <v>11</v>
      </c>
      <c r="K401">
        <v>480.1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94553-D081-495E-8E06-8031E5A5E8D7}">
  <sheetPr>
    <tabColor theme="9" tint="-0.249977111117893"/>
  </sheetPr>
  <dimension ref="A1:P41"/>
  <sheetViews>
    <sheetView workbookViewId="0">
      <selection activeCell="J51" sqref="J51"/>
    </sheetView>
  </sheetViews>
  <sheetFormatPr defaultRowHeight="15" x14ac:dyDescent="0.25"/>
  <cols>
    <col min="1" max="1" width="13.28515625" bestFit="1" customWidth="1"/>
    <col min="2" max="2" width="10.42578125" bestFit="1" customWidth="1"/>
    <col min="3" max="3" width="7.140625" bestFit="1" customWidth="1"/>
    <col min="5" max="5" width="16" bestFit="1" customWidth="1"/>
    <col min="6" max="6" width="18" bestFit="1" customWidth="1"/>
    <col min="7" max="7" width="14.5703125" bestFit="1" customWidth="1"/>
    <col min="8" max="8" width="16.85546875" bestFit="1" customWidth="1"/>
    <col min="9" max="9" width="11.28515625" bestFit="1" customWidth="1"/>
    <col min="10" max="10" width="21.5703125" bestFit="1" customWidth="1"/>
    <col min="11" max="11" width="46.85546875" bestFit="1" customWidth="1"/>
    <col min="12" max="12" width="9.7109375" bestFit="1" customWidth="1"/>
    <col min="13" max="13" width="16.42578125" bestFit="1" customWidth="1"/>
    <col min="14" max="14" width="11.85546875" bestFit="1" customWidth="1"/>
    <col min="15" max="15" width="11.28515625" bestFit="1" customWidth="1"/>
    <col min="16" max="16" width="15.5703125" bestFit="1" customWidth="1"/>
  </cols>
  <sheetData>
    <row r="1" spans="1:16" x14ac:dyDescent="0.25">
      <c r="A1" t="s">
        <v>269</v>
      </c>
      <c r="B1" t="s">
        <v>270</v>
      </c>
      <c r="C1" t="s">
        <v>0</v>
      </c>
      <c r="D1" t="s">
        <v>119</v>
      </c>
      <c r="E1" t="s">
        <v>271</v>
      </c>
      <c r="F1" t="s">
        <v>272</v>
      </c>
      <c r="G1" t="s">
        <v>273</v>
      </c>
      <c r="H1" t="s">
        <v>274</v>
      </c>
      <c r="I1" t="s">
        <v>275</v>
      </c>
      <c r="J1" t="s">
        <v>276</v>
      </c>
      <c r="K1" t="s">
        <v>277</v>
      </c>
      <c r="L1" t="s">
        <v>278</v>
      </c>
      <c r="M1" t="s">
        <v>279</v>
      </c>
      <c r="N1" t="s">
        <v>280</v>
      </c>
      <c r="O1" t="s">
        <v>281</v>
      </c>
      <c r="P1" t="s">
        <v>99</v>
      </c>
    </row>
    <row r="2" spans="1:16" x14ac:dyDescent="0.25">
      <c r="A2" s="1" t="s">
        <v>282</v>
      </c>
      <c r="B2" s="2">
        <v>40278</v>
      </c>
      <c r="C2">
        <v>2010</v>
      </c>
      <c r="D2">
        <v>4</v>
      </c>
      <c r="E2" s="1" t="s">
        <v>283</v>
      </c>
      <c r="F2" s="1" t="s">
        <v>284</v>
      </c>
      <c r="G2" s="1" t="s">
        <v>285</v>
      </c>
      <c r="H2" s="1" t="s">
        <v>286</v>
      </c>
      <c r="I2">
        <v>96</v>
      </c>
      <c r="J2" s="1" t="s">
        <v>287</v>
      </c>
      <c r="K2" s="1" t="s">
        <v>288</v>
      </c>
      <c r="L2">
        <v>1</v>
      </c>
      <c r="M2">
        <v>0</v>
      </c>
      <c r="N2">
        <v>0</v>
      </c>
      <c r="O2">
        <v>0</v>
      </c>
      <c r="P2" t="str">
        <f>IF(tbl_aviation_incidents[[#This Row],[is_boeing]]=1,"Boeing",IF(tbl_aviation_incidents[[#This Row],[is_airbus]]=1,"Airbus","Other"))</f>
        <v>Other</v>
      </c>
    </row>
    <row r="3" spans="1:16" x14ac:dyDescent="0.25">
      <c r="A3" s="1" t="s">
        <v>289</v>
      </c>
      <c r="B3" s="2">
        <v>40320</v>
      </c>
      <c r="C3">
        <v>2010</v>
      </c>
      <c r="D3">
        <v>5</v>
      </c>
      <c r="E3" s="1" t="s">
        <v>290</v>
      </c>
      <c r="F3" s="1" t="s">
        <v>291</v>
      </c>
      <c r="G3" s="1" t="s">
        <v>292</v>
      </c>
      <c r="H3" s="1" t="s">
        <v>286</v>
      </c>
      <c r="I3">
        <v>158</v>
      </c>
      <c r="J3" s="1" t="s">
        <v>293</v>
      </c>
      <c r="K3" s="1" t="s">
        <v>294</v>
      </c>
      <c r="L3">
        <v>1</v>
      </c>
      <c r="M3">
        <v>0</v>
      </c>
      <c r="N3">
        <v>1</v>
      </c>
      <c r="O3">
        <v>0</v>
      </c>
      <c r="P3" t="str">
        <f>IF(tbl_aviation_incidents[[#This Row],[is_boeing]]=1,"Boeing",IF(tbl_aviation_incidents[[#This Row],[is_airbus]]=1,"Airbus","Other"))</f>
        <v>Boeing</v>
      </c>
    </row>
    <row r="4" spans="1:16" x14ac:dyDescent="0.25">
      <c r="A4" s="1" t="s">
        <v>295</v>
      </c>
      <c r="B4" s="2">
        <v>40732</v>
      </c>
      <c r="C4">
        <v>2011</v>
      </c>
      <c r="D4">
        <v>7</v>
      </c>
      <c r="E4" s="1" t="s">
        <v>296</v>
      </c>
      <c r="F4" s="1" t="s">
        <v>297</v>
      </c>
      <c r="G4" s="1" t="s">
        <v>298</v>
      </c>
      <c r="H4" s="1" t="s">
        <v>286</v>
      </c>
      <c r="I4">
        <v>81</v>
      </c>
      <c r="J4" s="1" t="s">
        <v>299</v>
      </c>
      <c r="K4" s="1" t="s">
        <v>300</v>
      </c>
      <c r="L4">
        <v>1</v>
      </c>
      <c r="M4">
        <v>0</v>
      </c>
      <c r="N4">
        <v>1</v>
      </c>
      <c r="O4">
        <v>0</v>
      </c>
      <c r="P4" t="str">
        <f>IF(tbl_aviation_incidents[[#This Row],[is_boeing]]=1,"Boeing",IF(tbl_aviation_incidents[[#This Row],[is_airbus]]=1,"Airbus","Other"))</f>
        <v>Boeing</v>
      </c>
    </row>
    <row r="5" spans="1:16" x14ac:dyDescent="0.25">
      <c r="A5" s="1" t="s">
        <v>301</v>
      </c>
      <c r="B5" s="2">
        <v>41019</v>
      </c>
      <c r="C5">
        <v>2012</v>
      </c>
      <c r="D5">
        <v>4</v>
      </c>
      <c r="E5" s="1" t="s">
        <v>302</v>
      </c>
      <c r="F5" s="1" t="s">
        <v>303</v>
      </c>
      <c r="G5" s="1" t="s">
        <v>304</v>
      </c>
      <c r="H5" s="1" t="s">
        <v>286</v>
      </c>
      <c r="I5">
        <v>127</v>
      </c>
      <c r="J5" s="1" t="s">
        <v>305</v>
      </c>
      <c r="K5" s="1" t="s">
        <v>306</v>
      </c>
      <c r="L5">
        <v>1</v>
      </c>
      <c r="M5">
        <v>0</v>
      </c>
      <c r="N5">
        <v>1</v>
      </c>
      <c r="O5">
        <v>0</v>
      </c>
      <c r="P5" t="str">
        <f>IF(tbl_aviation_incidents[[#This Row],[is_boeing]]=1,"Boeing",IF(tbl_aviation_incidents[[#This Row],[is_airbus]]=1,"Airbus","Other"))</f>
        <v>Boeing</v>
      </c>
    </row>
    <row r="6" spans="1:16" x14ac:dyDescent="0.25">
      <c r="A6" s="1" t="s">
        <v>307</v>
      </c>
      <c r="B6" s="2">
        <v>41461</v>
      </c>
      <c r="C6">
        <v>2013</v>
      </c>
      <c r="D6">
        <v>7</v>
      </c>
      <c r="E6" s="1" t="s">
        <v>308</v>
      </c>
      <c r="F6" s="1" t="s">
        <v>309</v>
      </c>
      <c r="G6" s="1" t="s">
        <v>310</v>
      </c>
      <c r="H6" s="1" t="s">
        <v>286</v>
      </c>
      <c r="I6">
        <v>3</v>
      </c>
      <c r="J6" s="1" t="s">
        <v>311</v>
      </c>
      <c r="K6" s="1" t="s">
        <v>312</v>
      </c>
      <c r="L6">
        <v>1</v>
      </c>
      <c r="M6">
        <v>0</v>
      </c>
      <c r="N6">
        <v>1</v>
      </c>
      <c r="O6">
        <v>0</v>
      </c>
      <c r="P6" t="str">
        <f>IF(tbl_aviation_incidents[[#This Row],[is_boeing]]=1,"Boeing",IF(tbl_aviation_incidents[[#This Row],[is_airbus]]=1,"Airbus","Other"))</f>
        <v>Boeing</v>
      </c>
    </row>
    <row r="7" spans="1:16" x14ac:dyDescent="0.25">
      <c r="A7" s="1" t="s">
        <v>313</v>
      </c>
      <c r="B7" s="2">
        <v>41706</v>
      </c>
      <c r="C7">
        <v>2014</v>
      </c>
      <c r="D7">
        <v>3</v>
      </c>
      <c r="E7" s="1" t="s">
        <v>314</v>
      </c>
      <c r="F7" s="1" t="s">
        <v>315</v>
      </c>
      <c r="G7" s="1" t="s">
        <v>310</v>
      </c>
      <c r="H7" s="1" t="s">
        <v>286</v>
      </c>
      <c r="I7">
        <v>239</v>
      </c>
      <c r="J7" s="1" t="s">
        <v>316</v>
      </c>
      <c r="K7" s="1" t="s">
        <v>317</v>
      </c>
      <c r="L7">
        <v>1</v>
      </c>
      <c r="M7">
        <v>0</v>
      </c>
      <c r="N7">
        <v>1</v>
      </c>
      <c r="O7">
        <v>0</v>
      </c>
      <c r="P7" t="str">
        <f>IF(tbl_aviation_incidents[[#This Row],[is_boeing]]=1,"Boeing",IF(tbl_aviation_incidents[[#This Row],[is_airbus]]=1,"Airbus","Other"))</f>
        <v>Boeing</v>
      </c>
    </row>
    <row r="8" spans="1:16" x14ac:dyDescent="0.25">
      <c r="A8" s="1" t="s">
        <v>318</v>
      </c>
      <c r="B8" s="2">
        <v>41837</v>
      </c>
      <c r="C8">
        <v>2014</v>
      </c>
      <c r="D8">
        <v>7</v>
      </c>
      <c r="E8" s="1" t="s">
        <v>319</v>
      </c>
      <c r="F8" s="1" t="s">
        <v>315</v>
      </c>
      <c r="G8" s="1" t="s">
        <v>310</v>
      </c>
      <c r="H8" s="1" t="s">
        <v>286</v>
      </c>
      <c r="I8">
        <v>298</v>
      </c>
      <c r="J8" s="1" t="s">
        <v>320</v>
      </c>
      <c r="K8" s="1" t="s">
        <v>321</v>
      </c>
      <c r="L8">
        <v>1</v>
      </c>
      <c r="M8">
        <v>1</v>
      </c>
      <c r="N8">
        <v>1</v>
      </c>
      <c r="O8">
        <v>0</v>
      </c>
      <c r="P8" t="str">
        <f>IF(tbl_aviation_incidents[[#This Row],[is_boeing]]=1,"Boeing",IF(tbl_aviation_incidents[[#This Row],[is_airbus]]=1,"Airbus","Other"))</f>
        <v>Boeing</v>
      </c>
    </row>
    <row r="9" spans="1:16" x14ac:dyDescent="0.25">
      <c r="A9" s="1" t="s">
        <v>322</v>
      </c>
      <c r="B9" s="2">
        <v>41843</v>
      </c>
      <c r="C9">
        <v>2014</v>
      </c>
      <c r="D9">
        <v>7</v>
      </c>
      <c r="E9" s="1" t="s">
        <v>323</v>
      </c>
      <c r="F9" s="1" t="s">
        <v>324</v>
      </c>
      <c r="G9" s="1" t="s">
        <v>325</v>
      </c>
      <c r="H9" s="1" t="s">
        <v>286</v>
      </c>
      <c r="I9">
        <v>48</v>
      </c>
      <c r="J9" s="1" t="s">
        <v>326</v>
      </c>
      <c r="K9" s="1" t="s">
        <v>327</v>
      </c>
      <c r="L9">
        <v>1</v>
      </c>
      <c r="M9">
        <v>0</v>
      </c>
      <c r="N9">
        <v>0</v>
      </c>
      <c r="O9">
        <v>0</v>
      </c>
      <c r="P9" t="str">
        <f>IF(tbl_aviation_incidents[[#This Row],[is_boeing]]=1,"Boeing",IF(tbl_aviation_incidents[[#This Row],[is_airbus]]=1,"Airbus","Other"))</f>
        <v>Other</v>
      </c>
    </row>
    <row r="10" spans="1:16" x14ac:dyDescent="0.25">
      <c r="A10" s="1" t="s">
        <v>328</v>
      </c>
      <c r="B10" s="2">
        <v>42001</v>
      </c>
      <c r="C10">
        <v>2014</v>
      </c>
      <c r="D10">
        <v>12</v>
      </c>
      <c r="E10" s="1" t="s">
        <v>329</v>
      </c>
      <c r="F10" s="1" t="s">
        <v>75</v>
      </c>
      <c r="G10" s="1" t="s">
        <v>330</v>
      </c>
      <c r="H10" s="1" t="s">
        <v>286</v>
      </c>
      <c r="I10">
        <v>162</v>
      </c>
      <c r="J10" s="1" t="s">
        <v>331</v>
      </c>
      <c r="K10" s="1" t="s">
        <v>332</v>
      </c>
      <c r="L10">
        <v>1</v>
      </c>
      <c r="M10">
        <v>0</v>
      </c>
      <c r="N10">
        <v>0</v>
      </c>
      <c r="O10">
        <v>1</v>
      </c>
      <c r="P10" t="str">
        <f>IF(tbl_aviation_incidents[[#This Row],[is_boeing]]=1,"Boeing",IF(tbl_aviation_incidents[[#This Row],[is_airbus]]=1,"Airbus","Other"))</f>
        <v>Airbus</v>
      </c>
    </row>
    <row r="11" spans="1:16" x14ac:dyDescent="0.25">
      <c r="A11" s="1" t="s">
        <v>333</v>
      </c>
      <c r="B11" s="2">
        <v>42087</v>
      </c>
      <c r="C11">
        <v>2015</v>
      </c>
      <c r="D11">
        <v>3</v>
      </c>
      <c r="E11" s="1" t="s">
        <v>334</v>
      </c>
      <c r="F11" s="1" t="s">
        <v>335</v>
      </c>
      <c r="G11" s="1" t="s">
        <v>330</v>
      </c>
      <c r="H11" s="1" t="s">
        <v>286</v>
      </c>
      <c r="I11">
        <v>150</v>
      </c>
      <c r="J11" s="1" t="s">
        <v>336</v>
      </c>
      <c r="K11" s="1" t="s">
        <v>337</v>
      </c>
      <c r="L11">
        <v>1</v>
      </c>
      <c r="M11">
        <v>0</v>
      </c>
      <c r="N11">
        <v>0</v>
      </c>
      <c r="O11">
        <v>1</v>
      </c>
      <c r="P11" t="str">
        <f>IF(tbl_aviation_incidents[[#This Row],[is_boeing]]=1,"Boeing",IF(tbl_aviation_incidents[[#This Row],[is_airbus]]=1,"Airbus","Other"))</f>
        <v>Airbus</v>
      </c>
    </row>
    <row r="12" spans="1:16" x14ac:dyDescent="0.25">
      <c r="A12" s="1" t="s">
        <v>338</v>
      </c>
      <c r="B12" s="2">
        <v>42308</v>
      </c>
      <c r="C12">
        <v>2015</v>
      </c>
      <c r="D12">
        <v>10</v>
      </c>
      <c r="E12" s="1" t="s">
        <v>339</v>
      </c>
      <c r="F12" s="1" t="s">
        <v>340</v>
      </c>
      <c r="G12" s="1" t="s">
        <v>341</v>
      </c>
      <c r="H12" s="1" t="s">
        <v>286</v>
      </c>
      <c r="I12">
        <v>224</v>
      </c>
      <c r="J12" s="1" t="s">
        <v>342</v>
      </c>
      <c r="K12" s="1" t="s">
        <v>343</v>
      </c>
      <c r="L12">
        <v>1</v>
      </c>
      <c r="M12">
        <v>0</v>
      </c>
      <c r="N12">
        <v>0</v>
      </c>
      <c r="O12">
        <v>1</v>
      </c>
      <c r="P12" t="str">
        <f>IF(tbl_aviation_incidents[[#This Row],[is_boeing]]=1,"Boeing",IF(tbl_aviation_incidents[[#This Row],[is_airbus]]=1,"Airbus","Other"))</f>
        <v>Airbus</v>
      </c>
    </row>
    <row r="13" spans="1:16" x14ac:dyDescent="0.25">
      <c r="A13" s="1" t="s">
        <v>344</v>
      </c>
      <c r="B13" s="2">
        <v>42448</v>
      </c>
      <c r="C13">
        <v>2016</v>
      </c>
      <c r="D13">
        <v>3</v>
      </c>
      <c r="E13" s="1" t="s">
        <v>345</v>
      </c>
      <c r="F13" s="1" t="s">
        <v>346</v>
      </c>
      <c r="G13" s="1" t="s">
        <v>292</v>
      </c>
      <c r="H13" s="1" t="s">
        <v>286</v>
      </c>
      <c r="I13">
        <v>62</v>
      </c>
      <c r="J13" s="1" t="s">
        <v>347</v>
      </c>
      <c r="K13" s="1" t="s">
        <v>348</v>
      </c>
      <c r="L13">
        <v>1</v>
      </c>
      <c r="M13">
        <v>0</v>
      </c>
      <c r="N13">
        <v>1</v>
      </c>
      <c r="O13">
        <v>0</v>
      </c>
      <c r="P13" t="str">
        <f>IF(tbl_aviation_incidents[[#This Row],[is_boeing]]=1,"Boeing",IF(tbl_aviation_incidents[[#This Row],[is_airbus]]=1,"Airbus","Other"))</f>
        <v>Boeing</v>
      </c>
    </row>
    <row r="14" spans="1:16" x14ac:dyDescent="0.25">
      <c r="A14" s="1" t="s">
        <v>349</v>
      </c>
      <c r="B14" s="2">
        <v>42509</v>
      </c>
      <c r="C14">
        <v>2016</v>
      </c>
      <c r="D14">
        <v>5</v>
      </c>
      <c r="E14" s="1" t="s">
        <v>350</v>
      </c>
      <c r="F14" s="1" t="s">
        <v>351</v>
      </c>
      <c r="G14" s="1" t="s">
        <v>330</v>
      </c>
      <c r="H14" s="1" t="s">
        <v>286</v>
      </c>
      <c r="I14">
        <v>66</v>
      </c>
      <c r="J14" s="1" t="s">
        <v>352</v>
      </c>
      <c r="K14" s="1" t="s">
        <v>353</v>
      </c>
      <c r="L14">
        <v>1</v>
      </c>
      <c r="M14">
        <v>0</v>
      </c>
      <c r="N14">
        <v>0</v>
      </c>
      <c r="O14">
        <v>1</v>
      </c>
      <c r="P14" t="str">
        <f>IF(tbl_aviation_incidents[[#This Row],[is_boeing]]=1,"Boeing",IF(tbl_aviation_incidents[[#This Row],[is_airbus]]=1,"Airbus","Other"))</f>
        <v>Airbus</v>
      </c>
    </row>
    <row r="15" spans="1:16" x14ac:dyDescent="0.25">
      <c r="A15" s="1" t="s">
        <v>354</v>
      </c>
      <c r="B15" s="2">
        <v>42834</v>
      </c>
      <c r="C15">
        <v>2017</v>
      </c>
      <c r="D15">
        <v>4</v>
      </c>
      <c r="E15" s="1" t="s">
        <v>355</v>
      </c>
      <c r="F15" s="1" t="s">
        <v>17</v>
      </c>
      <c r="G15" s="1" t="s">
        <v>292</v>
      </c>
      <c r="H15" s="1" t="s">
        <v>356</v>
      </c>
      <c r="I15">
        <v>0</v>
      </c>
      <c r="J15" s="1" t="s">
        <v>357</v>
      </c>
      <c r="K15" s="1" t="s">
        <v>358</v>
      </c>
      <c r="L15">
        <v>0</v>
      </c>
      <c r="M15">
        <v>0</v>
      </c>
      <c r="N15">
        <v>1</v>
      </c>
      <c r="O15">
        <v>0</v>
      </c>
      <c r="P15" t="str">
        <f>IF(tbl_aviation_incidents[[#This Row],[is_boeing]]=1,"Boeing",IF(tbl_aviation_incidents[[#This Row],[is_airbus]]=1,"Airbus","Other"))</f>
        <v>Boeing</v>
      </c>
    </row>
    <row r="16" spans="1:16" x14ac:dyDescent="0.25">
      <c r="A16" s="1" t="s">
        <v>359</v>
      </c>
      <c r="B16" s="2">
        <v>43207</v>
      </c>
      <c r="C16">
        <v>2018</v>
      </c>
      <c r="D16">
        <v>4</v>
      </c>
      <c r="E16" s="1" t="s">
        <v>360</v>
      </c>
      <c r="F16" s="1" t="s">
        <v>361</v>
      </c>
      <c r="G16" s="1" t="s">
        <v>362</v>
      </c>
      <c r="H16" s="1" t="s">
        <v>363</v>
      </c>
      <c r="I16">
        <v>1</v>
      </c>
      <c r="J16" s="1" t="s">
        <v>364</v>
      </c>
      <c r="K16" s="1" t="s">
        <v>365</v>
      </c>
      <c r="L16">
        <v>1</v>
      </c>
      <c r="M16">
        <v>0</v>
      </c>
      <c r="N16">
        <v>1</v>
      </c>
      <c r="O16">
        <v>0</v>
      </c>
      <c r="P16" t="str">
        <f>IF(tbl_aviation_incidents[[#This Row],[is_boeing]]=1,"Boeing",IF(tbl_aviation_incidents[[#This Row],[is_airbus]]=1,"Airbus","Other"))</f>
        <v>Boeing</v>
      </c>
    </row>
    <row r="17" spans="1:16" x14ac:dyDescent="0.25">
      <c r="A17" s="1" t="s">
        <v>366</v>
      </c>
      <c r="B17" s="2">
        <v>43402</v>
      </c>
      <c r="C17">
        <v>2018</v>
      </c>
      <c r="D17">
        <v>10</v>
      </c>
      <c r="E17" s="1" t="s">
        <v>367</v>
      </c>
      <c r="F17" s="1" t="s">
        <v>368</v>
      </c>
      <c r="G17" s="1" t="s">
        <v>369</v>
      </c>
      <c r="H17" s="1" t="s">
        <v>286</v>
      </c>
      <c r="I17">
        <v>189</v>
      </c>
      <c r="J17" s="1" t="s">
        <v>331</v>
      </c>
      <c r="K17" s="1" t="s">
        <v>370</v>
      </c>
      <c r="L17">
        <v>1</v>
      </c>
      <c r="M17">
        <v>0</v>
      </c>
      <c r="N17">
        <v>1</v>
      </c>
      <c r="O17">
        <v>0</v>
      </c>
      <c r="P17" t="str">
        <f>IF(tbl_aviation_incidents[[#This Row],[is_boeing]]=1,"Boeing",IF(tbl_aviation_incidents[[#This Row],[is_airbus]]=1,"Airbus","Other"))</f>
        <v>Boeing</v>
      </c>
    </row>
    <row r="18" spans="1:16" x14ac:dyDescent="0.25">
      <c r="A18" s="1" t="s">
        <v>371</v>
      </c>
      <c r="B18" s="2">
        <v>43534</v>
      </c>
      <c r="C18">
        <v>2019</v>
      </c>
      <c r="D18">
        <v>3</v>
      </c>
      <c r="E18" s="1" t="s">
        <v>372</v>
      </c>
      <c r="F18" s="1" t="s">
        <v>373</v>
      </c>
      <c r="G18" s="1" t="s">
        <v>369</v>
      </c>
      <c r="H18" s="1" t="s">
        <v>286</v>
      </c>
      <c r="I18">
        <v>157</v>
      </c>
      <c r="J18" s="1" t="s">
        <v>374</v>
      </c>
      <c r="K18" s="1" t="s">
        <v>375</v>
      </c>
      <c r="L18">
        <v>1</v>
      </c>
      <c r="M18">
        <v>0</v>
      </c>
      <c r="N18">
        <v>1</v>
      </c>
      <c r="O18">
        <v>0</v>
      </c>
      <c r="P18" t="str">
        <f>IF(tbl_aviation_incidents[[#This Row],[is_boeing]]=1,"Boeing",IF(tbl_aviation_incidents[[#This Row],[is_airbus]]=1,"Airbus","Other"))</f>
        <v>Boeing</v>
      </c>
    </row>
    <row r="19" spans="1:16" x14ac:dyDescent="0.25">
      <c r="A19" s="1" t="s">
        <v>376</v>
      </c>
      <c r="B19" s="2">
        <v>43590</v>
      </c>
      <c r="C19">
        <v>2019</v>
      </c>
      <c r="D19">
        <v>5</v>
      </c>
      <c r="E19" s="1" t="s">
        <v>377</v>
      </c>
      <c r="F19" s="1" t="s">
        <v>47</v>
      </c>
      <c r="G19" s="1" t="s">
        <v>378</v>
      </c>
      <c r="H19" s="1" t="s">
        <v>286</v>
      </c>
      <c r="I19">
        <v>41</v>
      </c>
      <c r="J19" s="1" t="s">
        <v>379</v>
      </c>
      <c r="K19" s="1" t="s">
        <v>380</v>
      </c>
      <c r="L19">
        <v>1</v>
      </c>
      <c r="M19">
        <v>0</v>
      </c>
      <c r="N19">
        <v>0</v>
      </c>
      <c r="O19">
        <v>0</v>
      </c>
      <c r="P19" t="str">
        <f>IF(tbl_aviation_incidents[[#This Row],[is_boeing]]=1,"Boeing",IF(tbl_aviation_incidents[[#This Row],[is_airbus]]=1,"Airbus","Other"))</f>
        <v>Other</v>
      </c>
    </row>
    <row r="20" spans="1:16" x14ac:dyDescent="0.25">
      <c r="A20" s="1" t="s">
        <v>381</v>
      </c>
      <c r="B20" s="2">
        <v>43692</v>
      </c>
      <c r="C20">
        <v>2019</v>
      </c>
      <c r="D20">
        <v>8</v>
      </c>
      <c r="E20" s="1" t="s">
        <v>382</v>
      </c>
      <c r="F20" s="1" t="s">
        <v>383</v>
      </c>
      <c r="G20" s="1" t="s">
        <v>341</v>
      </c>
      <c r="H20" s="1" t="s">
        <v>356</v>
      </c>
      <c r="I20">
        <v>0</v>
      </c>
      <c r="J20" s="1" t="s">
        <v>379</v>
      </c>
      <c r="K20" s="1" t="s">
        <v>384</v>
      </c>
      <c r="L20">
        <v>0</v>
      </c>
      <c r="M20">
        <v>0</v>
      </c>
      <c r="N20">
        <v>0</v>
      </c>
      <c r="O20">
        <v>1</v>
      </c>
      <c r="P20" t="str">
        <f>IF(tbl_aviation_incidents[[#This Row],[is_boeing]]=1,"Boeing",IF(tbl_aviation_incidents[[#This Row],[is_airbus]]=1,"Airbus","Other"))</f>
        <v>Airbus</v>
      </c>
    </row>
    <row r="21" spans="1:16" x14ac:dyDescent="0.25">
      <c r="A21" s="1" t="s">
        <v>385</v>
      </c>
      <c r="B21" s="2">
        <v>43838</v>
      </c>
      <c r="C21">
        <v>2020</v>
      </c>
      <c r="D21">
        <v>1</v>
      </c>
      <c r="E21" s="1" t="s">
        <v>386</v>
      </c>
      <c r="F21" s="1" t="s">
        <v>387</v>
      </c>
      <c r="G21" s="1" t="s">
        <v>292</v>
      </c>
      <c r="H21" s="1" t="s">
        <v>286</v>
      </c>
      <c r="I21">
        <v>176</v>
      </c>
      <c r="J21" s="1" t="s">
        <v>388</v>
      </c>
      <c r="K21" s="1" t="s">
        <v>389</v>
      </c>
      <c r="L21">
        <v>1</v>
      </c>
      <c r="M21">
        <v>1</v>
      </c>
      <c r="N21">
        <v>1</v>
      </c>
      <c r="O21">
        <v>0</v>
      </c>
      <c r="P21" t="str">
        <f>IF(tbl_aviation_incidents[[#This Row],[is_boeing]]=1,"Boeing",IF(tbl_aviation_incidents[[#This Row],[is_airbus]]=1,"Airbus","Other"))</f>
        <v>Boeing</v>
      </c>
    </row>
    <row r="22" spans="1:16" x14ac:dyDescent="0.25">
      <c r="A22" s="1" t="s">
        <v>390</v>
      </c>
      <c r="B22" s="2">
        <v>43973</v>
      </c>
      <c r="C22">
        <v>2020</v>
      </c>
      <c r="D22">
        <v>5</v>
      </c>
      <c r="E22" s="1" t="s">
        <v>391</v>
      </c>
      <c r="F22" s="1" t="s">
        <v>392</v>
      </c>
      <c r="G22" s="1" t="s">
        <v>330</v>
      </c>
      <c r="H22" s="1" t="s">
        <v>286</v>
      </c>
      <c r="I22">
        <v>97</v>
      </c>
      <c r="J22" s="1" t="s">
        <v>393</v>
      </c>
      <c r="K22" s="1" t="s">
        <v>394</v>
      </c>
      <c r="L22">
        <v>1</v>
      </c>
      <c r="M22">
        <v>0</v>
      </c>
      <c r="N22">
        <v>0</v>
      </c>
      <c r="O22">
        <v>1</v>
      </c>
      <c r="P22" t="str">
        <f>IF(tbl_aviation_incidents[[#This Row],[is_boeing]]=1,"Boeing",IF(tbl_aviation_incidents[[#This Row],[is_airbus]]=1,"Airbus","Other"))</f>
        <v>Airbus</v>
      </c>
    </row>
    <row r="23" spans="1:16" x14ac:dyDescent="0.25">
      <c r="A23" s="1" t="s">
        <v>395</v>
      </c>
      <c r="B23" s="2">
        <v>44050</v>
      </c>
      <c r="C23">
        <v>2020</v>
      </c>
      <c r="D23">
        <v>8</v>
      </c>
      <c r="E23" s="1" t="s">
        <v>396</v>
      </c>
      <c r="F23" s="1" t="s">
        <v>291</v>
      </c>
      <c r="G23" s="1" t="s">
        <v>292</v>
      </c>
      <c r="H23" s="1" t="s">
        <v>286</v>
      </c>
      <c r="I23">
        <v>21</v>
      </c>
      <c r="J23" s="1" t="s">
        <v>397</v>
      </c>
      <c r="K23" s="1" t="s">
        <v>398</v>
      </c>
      <c r="L23">
        <v>1</v>
      </c>
      <c r="M23">
        <v>0</v>
      </c>
      <c r="N23">
        <v>1</v>
      </c>
      <c r="O23">
        <v>0</v>
      </c>
      <c r="P23" t="str">
        <f>IF(tbl_aviation_incidents[[#This Row],[is_boeing]]=1,"Boeing",IF(tbl_aviation_incidents[[#This Row],[is_airbus]]=1,"Airbus","Other"))</f>
        <v>Boeing</v>
      </c>
    </row>
    <row r="24" spans="1:16" x14ac:dyDescent="0.25">
      <c r="A24" s="1" t="s">
        <v>399</v>
      </c>
      <c r="B24" s="2">
        <v>44205</v>
      </c>
      <c r="C24">
        <v>2021</v>
      </c>
      <c r="D24">
        <v>1</v>
      </c>
      <c r="E24" s="1" t="s">
        <v>400</v>
      </c>
      <c r="F24" s="1" t="s">
        <v>401</v>
      </c>
      <c r="G24" s="1" t="s">
        <v>402</v>
      </c>
      <c r="H24" s="1" t="s">
        <v>286</v>
      </c>
      <c r="I24">
        <v>62</v>
      </c>
      <c r="J24" s="1" t="s">
        <v>331</v>
      </c>
      <c r="K24" s="1" t="s">
        <v>403</v>
      </c>
      <c r="L24">
        <v>1</v>
      </c>
      <c r="M24">
        <v>0</v>
      </c>
      <c r="N24">
        <v>1</v>
      </c>
      <c r="O24">
        <v>0</v>
      </c>
      <c r="P24" t="str">
        <f>IF(tbl_aviation_incidents[[#This Row],[is_boeing]]=1,"Boeing",IF(tbl_aviation_incidents[[#This Row],[is_airbus]]=1,"Airbus","Other"))</f>
        <v>Boeing</v>
      </c>
    </row>
    <row r="25" spans="1:16" x14ac:dyDescent="0.25">
      <c r="A25" s="1" t="s">
        <v>404</v>
      </c>
      <c r="B25" s="2">
        <v>44339</v>
      </c>
      <c r="C25">
        <v>2021</v>
      </c>
      <c r="D25">
        <v>5</v>
      </c>
      <c r="E25" s="1" t="s">
        <v>405</v>
      </c>
      <c r="F25" s="1" t="s">
        <v>39</v>
      </c>
      <c r="G25" s="1" t="s">
        <v>292</v>
      </c>
      <c r="H25" s="1" t="s">
        <v>356</v>
      </c>
      <c r="I25">
        <v>0</v>
      </c>
      <c r="J25" s="1" t="s">
        <v>406</v>
      </c>
      <c r="K25" s="1" t="s">
        <v>407</v>
      </c>
      <c r="L25">
        <v>0</v>
      </c>
      <c r="M25">
        <v>0</v>
      </c>
      <c r="N25">
        <v>1</v>
      </c>
      <c r="O25">
        <v>0</v>
      </c>
      <c r="P25" t="str">
        <f>IF(tbl_aviation_incidents[[#This Row],[is_boeing]]=1,"Boeing",IF(tbl_aviation_incidents[[#This Row],[is_airbus]]=1,"Airbus","Other"))</f>
        <v>Boeing</v>
      </c>
    </row>
    <row r="26" spans="1:16" x14ac:dyDescent="0.25">
      <c r="A26" s="1" t="s">
        <v>408</v>
      </c>
      <c r="B26" s="2">
        <v>44576</v>
      </c>
      <c r="C26">
        <v>2022</v>
      </c>
      <c r="D26">
        <v>1</v>
      </c>
      <c r="E26" s="1" t="s">
        <v>409</v>
      </c>
      <c r="F26" s="1" t="s">
        <v>410</v>
      </c>
      <c r="G26" s="1" t="s">
        <v>411</v>
      </c>
      <c r="H26" s="1" t="s">
        <v>412</v>
      </c>
      <c r="I26">
        <v>3</v>
      </c>
      <c r="J26" s="1" t="s">
        <v>413</v>
      </c>
      <c r="K26" s="1" t="s">
        <v>414</v>
      </c>
      <c r="L26">
        <v>1</v>
      </c>
      <c r="M26">
        <v>1</v>
      </c>
      <c r="N26">
        <v>0</v>
      </c>
      <c r="O26">
        <v>0</v>
      </c>
      <c r="P26" t="str">
        <f>IF(tbl_aviation_incidents[[#This Row],[is_boeing]]=1,"Boeing",IF(tbl_aviation_incidents[[#This Row],[is_airbus]]=1,"Airbus","Other"))</f>
        <v>Other</v>
      </c>
    </row>
    <row r="27" spans="1:16" x14ac:dyDescent="0.25">
      <c r="A27" s="1" t="s">
        <v>415</v>
      </c>
      <c r="B27" s="2">
        <v>44641</v>
      </c>
      <c r="C27">
        <v>2022</v>
      </c>
      <c r="D27">
        <v>3</v>
      </c>
      <c r="E27" s="1" t="s">
        <v>416</v>
      </c>
      <c r="F27" s="1" t="s">
        <v>56</v>
      </c>
      <c r="G27" s="1" t="s">
        <v>292</v>
      </c>
      <c r="H27" s="1" t="s">
        <v>286</v>
      </c>
      <c r="I27">
        <v>132</v>
      </c>
      <c r="J27" s="1" t="s">
        <v>417</v>
      </c>
      <c r="K27" s="1" t="s">
        <v>418</v>
      </c>
      <c r="L27">
        <v>1</v>
      </c>
      <c r="M27">
        <v>0</v>
      </c>
      <c r="N27">
        <v>1</v>
      </c>
      <c r="O27">
        <v>0</v>
      </c>
      <c r="P27" t="str">
        <f>IF(tbl_aviation_incidents[[#This Row],[is_boeing]]=1,"Boeing",IF(tbl_aviation_incidents[[#This Row],[is_airbus]]=1,"Airbus","Other"))</f>
        <v>Boeing</v>
      </c>
    </row>
    <row r="28" spans="1:16" x14ac:dyDescent="0.25">
      <c r="A28" s="1" t="s">
        <v>419</v>
      </c>
      <c r="B28" s="2">
        <v>44758</v>
      </c>
      <c r="C28">
        <v>2022</v>
      </c>
      <c r="D28">
        <v>7</v>
      </c>
      <c r="E28" s="1" t="s">
        <v>420</v>
      </c>
      <c r="F28" s="1" t="s">
        <v>421</v>
      </c>
      <c r="G28" s="1" t="s">
        <v>411</v>
      </c>
      <c r="H28" s="1" t="s">
        <v>412</v>
      </c>
      <c r="I28">
        <v>0</v>
      </c>
      <c r="J28" s="1" t="s">
        <v>422</v>
      </c>
      <c r="K28" s="1" t="s">
        <v>423</v>
      </c>
      <c r="L28">
        <v>0</v>
      </c>
      <c r="M28">
        <v>0</v>
      </c>
      <c r="N28">
        <v>0</v>
      </c>
      <c r="O28">
        <v>0</v>
      </c>
      <c r="P28" t="str">
        <f>IF(tbl_aviation_incidents[[#This Row],[is_boeing]]=1,"Boeing",IF(tbl_aviation_incidents[[#This Row],[is_airbus]]=1,"Airbus","Other"))</f>
        <v>Other</v>
      </c>
    </row>
    <row r="29" spans="1:16" x14ac:dyDescent="0.25">
      <c r="A29" s="1" t="s">
        <v>424</v>
      </c>
      <c r="B29" s="2">
        <v>44880</v>
      </c>
      <c r="C29">
        <v>2022</v>
      </c>
      <c r="D29">
        <v>11</v>
      </c>
      <c r="E29" s="1" t="s">
        <v>377</v>
      </c>
      <c r="F29" s="1" t="s">
        <v>425</v>
      </c>
      <c r="G29" s="1" t="s">
        <v>411</v>
      </c>
      <c r="H29" s="1" t="s">
        <v>426</v>
      </c>
      <c r="I29">
        <v>0</v>
      </c>
      <c r="J29" s="1" t="s">
        <v>427</v>
      </c>
      <c r="K29" s="1" t="s">
        <v>428</v>
      </c>
      <c r="L29">
        <v>0</v>
      </c>
      <c r="M29">
        <v>0</v>
      </c>
      <c r="N29">
        <v>0</v>
      </c>
      <c r="O29">
        <v>0</v>
      </c>
      <c r="P29" t="str">
        <f>IF(tbl_aviation_incidents[[#This Row],[is_boeing]]=1,"Boeing",IF(tbl_aviation_incidents[[#This Row],[is_airbus]]=1,"Airbus","Other"))</f>
        <v>Other</v>
      </c>
    </row>
    <row r="30" spans="1:16" x14ac:dyDescent="0.25">
      <c r="A30" s="1" t="s">
        <v>429</v>
      </c>
      <c r="B30" s="2">
        <v>44961</v>
      </c>
      <c r="C30">
        <v>2023</v>
      </c>
      <c r="D30">
        <v>2</v>
      </c>
      <c r="E30" s="1" t="s">
        <v>430</v>
      </c>
      <c r="F30" s="1" t="s">
        <v>431</v>
      </c>
      <c r="G30" s="1" t="s">
        <v>432</v>
      </c>
      <c r="H30" s="1" t="s">
        <v>433</v>
      </c>
      <c r="I30">
        <v>0</v>
      </c>
      <c r="J30" s="1" t="s">
        <v>434</v>
      </c>
      <c r="K30" s="1" t="s">
        <v>435</v>
      </c>
      <c r="L30">
        <v>0</v>
      </c>
      <c r="M30">
        <v>0</v>
      </c>
      <c r="N30">
        <v>1</v>
      </c>
      <c r="O30">
        <v>0</v>
      </c>
      <c r="P30" t="str">
        <f>IF(tbl_aviation_incidents[[#This Row],[is_boeing]]=1,"Boeing",IF(tbl_aviation_incidents[[#This Row],[is_airbus]]=1,"Airbus","Other"))</f>
        <v>Boeing</v>
      </c>
    </row>
    <row r="31" spans="1:16" x14ac:dyDescent="0.25">
      <c r="A31" s="1" t="s">
        <v>436</v>
      </c>
      <c r="B31" s="2">
        <v>45259</v>
      </c>
      <c r="C31">
        <v>2023</v>
      </c>
      <c r="D31">
        <v>11</v>
      </c>
      <c r="E31" s="1" t="s">
        <v>437</v>
      </c>
      <c r="F31" s="1" t="s">
        <v>438</v>
      </c>
      <c r="G31" s="1" t="s">
        <v>439</v>
      </c>
      <c r="H31" s="1" t="s">
        <v>356</v>
      </c>
      <c r="I31">
        <v>0</v>
      </c>
      <c r="J31" s="1" t="s">
        <v>440</v>
      </c>
      <c r="K31" s="1" t="s">
        <v>441</v>
      </c>
      <c r="L31">
        <v>0</v>
      </c>
      <c r="M31">
        <v>0</v>
      </c>
      <c r="N31">
        <v>1</v>
      </c>
      <c r="O31">
        <v>0</v>
      </c>
      <c r="P31" t="str">
        <f>IF(tbl_aviation_incidents[[#This Row],[is_boeing]]=1,"Boeing",IF(tbl_aviation_incidents[[#This Row],[is_airbus]]=1,"Airbus","Other"))</f>
        <v>Boeing</v>
      </c>
    </row>
    <row r="32" spans="1:16" x14ac:dyDescent="0.25">
      <c r="A32" s="1" t="s">
        <v>442</v>
      </c>
      <c r="B32" s="2">
        <v>45293</v>
      </c>
      <c r="C32">
        <v>2024</v>
      </c>
      <c r="D32">
        <v>1</v>
      </c>
      <c r="E32" s="1" t="s">
        <v>443</v>
      </c>
      <c r="F32" s="1" t="s">
        <v>58</v>
      </c>
      <c r="G32" s="1" t="s">
        <v>444</v>
      </c>
      <c r="H32" s="1" t="s">
        <v>445</v>
      </c>
      <c r="I32">
        <v>5</v>
      </c>
      <c r="J32" s="1" t="s">
        <v>446</v>
      </c>
      <c r="K32" s="1" t="s">
        <v>447</v>
      </c>
      <c r="L32">
        <v>1</v>
      </c>
      <c r="M32">
        <v>0</v>
      </c>
      <c r="N32">
        <v>0</v>
      </c>
      <c r="O32">
        <v>1</v>
      </c>
      <c r="P32" t="str">
        <f>IF(tbl_aviation_incidents[[#This Row],[is_boeing]]=1,"Boeing",IF(tbl_aviation_incidents[[#This Row],[is_airbus]]=1,"Airbus","Other"))</f>
        <v>Airbus</v>
      </c>
    </row>
    <row r="33" spans="1:16" x14ac:dyDescent="0.25">
      <c r="A33" s="1" t="s">
        <v>448</v>
      </c>
      <c r="B33" s="2">
        <v>45296</v>
      </c>
      <c r="C33">
        <v>2024</v>
      </c>
      <c r="D33">
        <v>1</v>
      </c>
      <c r="E33" s="1" t="s">
        <v>449</v>
      </c>
      <c r="F33" s="1" t="s">
        <v>24</v>
      </c>
      <c r="G33" s="1" t="s">
        <v>450</v>
      </c>
      <c r="H33" s="1" t="s">
        <v>356</v>
      </c>
      <c r="I33">
        <v>0</v>
      </c>
      <c r="J33" s="1" t="s">
        <v>451</v>
      </c>
      <c r="K33" s="1" t="s">
        <v>452</v>
      </c>
      <c r="L33">
        <v>0</v>
      </c>
      <c r="M33">
        <v>0</v>
      </c>
      <c r="N33">
        <v>1</v>
      </c>
      <c r="O33">
        <v>0</v>
      </c>
      <c r="P33" t="str">
        <f>IF(tbl_aviation_incidents[[#This Row],[is_boeing]]=1,"Boeing",IF(tbl_aviation_incidents[[#This Row],[is_airbus]]=1,"Airbus","Other"))</f>
        <v>Boeing</v>
      </c>
    </row>
    <row r="34" spans="1:16" x14ac:dyDescent="0.25">
      <c r="A34" s="1" t="s">
        <v>453</v>
      </c>
      <c r="B34" s="2">
        <v>45513</v>
      </c>
      <c r="C34">
        <v>2024</v>
      </c>
      <c r="D34">
        <v>8</v>
      </c>
      <c r="E34" s="1" t="s">
        <v>454</v>
      </c>
      <c r="F34" s="1" t="s">
        <v>455</v>
      </c>
      <c r="G34" s="1" t="s">
        <v>325</v>
      </c>
      <c r="H34" s="1" t="s">
        <v>286</v>
      </c>
      <c r="I34">
        <v>62</v>
      </c>
      <c r="J34" s="1" t="s">
        <v>456</v>
      </c>
      <c r="K34" s="1" t="s">
        <v>457</v>
      </c>
      <c r="L34">
        <v>1</v>
      </c>
      <c r="M34">
        <v>0</v>
      </c>
      <c r="N34">
        <v>0</v>
      </c>
      <c r="O34">
        <v>0</v>
      </c>
      <c r="P34" t="str">
        <f>IF(tbl_aviation_incidents[[#This Row],[is_boeing]]=1,"Boeing",IF(tbl_aviation_incidents[[#This Row],[is_airbus]]=1,"Airbus","Other"))</f>
        <v>Other</v>
      </c>
    </row>
    <row r="35" spans="1:16" x14ac:dyDescent="0.25">
      <c r="A35" s="1" t="s">
        <v>458</v>
      </c>
      <c r="B35" s="2">
        <v>45651</v>
      </c>
      <c r="C35">
        <v>2024</v>
      </c>
      <c r="D35">
        <v>12</v>
      </c>
      <c r="E35" s="1" t="s">
        <v>459</v>
      </c>
      <c r="F35" s="1" t="s">
        <v>460</v>
      </c>
      <c r="G35" s="1" t="s">
        <v>461</v>
      </c>
      <c r="H35" s="1" t="s">
        <v>286</v>
      </c>
      <c r="I35">
        <v>38</v>
      </c>
      <c r="J35" s="1" t="s">
        <v>462</v>
      </c>
      <c r="K35" s="1" t="s">
        <v>463</v>
      </c>
      <c r="L35">
        <v>1</v>
      </c>
      <c r="M35">
        <v>0</v>
      </c>
      <c r="N35">
        <v>0</v>
      </c>
      <c r="O35">
        <v>0</v>
      </c>
      <c r="P35" t="str">
        <f>IF(tbl_aviation_incidents[[#This Row],[is_boeing]]=1,"Boeing",IF(tbl_aviation_incidents[[#This Row],[is_airbus]]=1,"Airbus","Other"))</f>
        <v>Other</v>
      </c>
    </row>
    <row r="36" spans="1:16" x14ac:dyDescent="0.25">
      <c r="A36" s="1" t="s">
        <v>464</v>
      </c>
      <c r="B36" s="2">
        <v>45655</v>
      </c>
      <c r="C36">
        <v>2024</v>
      </c>
      <c r="D36">
        <v>12</v>
      </c>
      <c r="E36" s="1" t="s">
        <v>465</v>
      </c>
      <c r="F36" s="1" t="s">
        <v>466</v>
      </c>
      <c r="G36" s="1" t="s">
        <v>292</v>
      </c>
      <c r="H36" s="1" t="s">
        <v>286</v>
      </c>
      <c r="I36">
        <v>179</v>
      </c>
      <c r="J36" s="1" t="s">
        <v>467</v>
      </c>
      <c r="K36" s="1" t="s">
        <v>468</v>
      </c>
      <c r="L36">
        <v>1</v>
      </c>
      <c r="M36">
        <v>0</v>
      </c>
      <c r="N36">
        <v>1</v>
      </c>
      <c r="O36">
        <v>0</v>
      </c>
      <c r="P36" t="str">
        <f>IF(tbl_aviation_incidents[[#This Row],[is_boeing]]=1,"Boeing",IF(tbl_aviation_incidents[[#This Row],[is_airbus]]=1,"Airbus","Other"))</f>
        <v>Boeing</v>
      </c>
    </row>
    <row r="37" spans="1:16" x14ac:dyDescent="0.25">
      <c r="A37" s="1" t="s">
        <v>469</v>
      </c>
      <c r="B37" s="2">
        <v>45686</v>
      </c>
      <c r="C37">
        <v>2025</v>
      </c>
      <c r="D37">
        <v>1</v>
      </c>
      <c r="E37" s="1" t="s">
        <v>470</v>
      </c>
      <c r="F37" s="1" t="s">
        <v>471</v>
      </c>
      <c r="G37" s="1" t="s">
        <v>472</v>
      </c>
      <c r="H37" s="1" t="s">
        <v>445</v>
      </c>
      <c r="I37">
        <v>67</v>
      </c>
      <c r="J37" s="1" t="s">
        <v>473</v>
      </c>
      <c r="K37" s="1" t="s">
        <v>474</v>
      </c>
      <c r="L37">
        <v>1</v>
      </c>
      <c r="M37">
        <v>0</v>
      </c>
      <c r="N37">
        <v>0</v>
      </c>
      <c r="O37">
        <v>0</v>
      </c>
      <c r="P37" t="str">
        <f>IF(tbl_aviation_incidents[[#This Row],[is_boeing]]=1,"Boeing",IF(tbl_aviation_incidents[[#This Row],[is_airbus]]=1,"Airbus","Other"))</f>
        <v>Other</v>
      </c>
    </row>
    <row r="38" spans="1:16" x14ac:dyDescent="0.25">
      <c r="A38" s="1" t="s">
        <v>475</v>
      </c>
      <c r="B38" s="2">
        <v>45705</v>
      </c>
      <c r="C38">
        <v>2025</v>
      </c>
      <c r="D38">
        <v>2</v>
      </c>
      <c r="E38" s="1" t="s">
        <v>476</v>
      </c>
      <c r="F38" s="1" t="s">
        <v>477</v>
      </c>
      <c r="G38" s="1" t="s">
        <v>478</v>
      </c>
      <c r="H38" s="1" t="s">
        <v>356</v>
      </c>
      <c r="I38">
        <v>0</v>
      </c>
      <c r="J38" s="1" t="s">
        <v>479</v>
      </c>
      <c r="K38" s="1" t="s">
        <v>480</v>
      </c>
      <c r="L38">
        <v>0</v>
      </c>
      <c r="M38">
        <v>0</v>
      </c>
      <c r="N38">
        <v>0</v>
      </c>
      <c r="O38">
        <v>0</v>
      </c>
      <c r="P38" t="str">
        <f>IF(tbl_aviation_incidents[[#This Row],[is_boeing]]=1,"Boeing",IF(tbl_aviation_incidents[[#This Row],[is_airbus]]=1,"Airbus","Other"))</f>
        <v>Other</v>
      </c>
    </row>
    <row r="39" spans="1:16" x14ac:dyDescent="0.25">
      <c r="A39" s="1" t="s">
        <v>481</v>
      </c>
      <c r="B39" s="2">
        <v>45820</v>
      </c>
      <c r="C39">
        <v>2025</v>
      </c>
      <c r="D39">
        <v>6</v>
      </c>
      <c r="E39" s="1" t="s">
        <v>430</v>
      </c>
      <c r="F39" s="1" t="s">
        <v>431</v>
      </c>
      <c r="G39" s="1" t="s">
        <v>482</v>
      </c>
      <c r="H39" s="1" t="s">
        <v>286</v>
      </c>
      <c r="I39">
        <v>241</v>
      </c>
      <c r="J39" s="1" t="s">
        <v>483</v>
      </c>
      <c r="K39" s="1" t="s">
        <v>484</v>
      </c>
      <c r="L39">
        <v>1</v>
      </c>
      <c r="M39">
        <v>0</v>
      </c>
      <c r="N39">
        <v>1</v>
      </c>
      <c r="O39">
        <v>0</v>
      </c>
      <c r="P39" t="str">
        <f>IF(tbl_aviation_incidents[[#This Row],[is_boeing]]=1,"Boeing",IF(tbl_aviation_incidents[[#This Row],[is_airbus]]=1,"Airbus","Other"))</f>
        <v>Boeing</v>
      </c>
    </row>
    <row r="40" spans="1:16" x14ac:dyDescent="0.25">
      <c r="A40" s="1" t="s">
        <v>485</v>
      </c>
      <c r="B40" s="2">
        <v>45920</v>
      </c>
      <c r="C40">
        <v>2025</v>
      </c>
      <c r="D40">
        <v>9</v>
      </c>
      <c r="E40" s="1" t="s">
        <v>486</v>
      </c>
      <c r="F40" s="1" t="s">
        <v>487</v>
      </c>
      <c r="G40" s="1" t="s">
        <v>310</v>
      </c>
      <c r="H40" s="1" t="s">
        <v>356</v>
      </c>
      <c r="I40">
        <v>0</v>
      </c>
      <c r="J40" s="1" t="s">
        <v>488</v>
      </c>
      <c r="K40" s="1" t="s">
        <v>489</v>
      </c>
      <c r="L40">
        <v>0</v>
      </c>
      <c r="M40">
        <v>0</v>
      </c>
      <c r="N40">
        <v>1</v>
      </c>
      <c r="O40">
        <v>0</v>
      </c>
      <c r="P40" t="str">
        <f>IF(tbl_aviation_incidents[[#This Row],[is_boeing]]=1,"Boeing",IF(tbl_aviation_incidents[[#This Row],[is_airbus]]=1,"Airbus","Other"))</f>
        <v>Boeing</v>
      </c>
    </row>
    <row r="41" spans="1:16" x14ac:dyDescent="0.25">
      <c r="A41" s="1" t="s">
        <v>490</v>
      </c>
      <c r="B41" s="2">
        <v>46068</v>
      </c>
      <c r="C41">
        <v>2026</v>
      </c>
      <c r="D41">
        <v>2</v>
      </c>
      <c r="E41" s="1" t="s">
        <v>491</v>
      </c>
      <c r="F41" s="1" t="s">
        <v>78</v>
      </c>
      <c r="G41" s="1" t="s">
        <v>492</v>
      </c>
      <c r="H41" s="1" t="s">
        <v>356</v>
      </c>
      <c r="I41">
        <v>0</v>
      </c>
      <c r="J41" s="1" t="s">
        <v>493</v>
      </c>
      <c r="K41" s="1" t="s">
        <v>494</v>
      </c>
      <c r="L41">
        <v>0</v>
      </c>
      <c r="M41">
        <v>0</v>
      </c>
      <c r="N41">
        <v>0</v>
      </c>
      <c r="O41">
        <v>1</v>
      </c>
      <c r="P41" t="str">
        <f>IF(tbl_aviation_incidents[[#This Row],[is_boeing]]=1,"Boeing",IF(tbl_aviation_incidents[[#This Row],[is_airbus]]=1,"Airbus","Other"))</f>
        <v>Airbus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C8AD5-44AE-4169-88C3-9264F9CEAF62}">
  <sheetPr>
    <tabColor rgb="FFFF0000"/>
  </sheetPr>
  <dimension ref="A1:BB200"/>
  <sheetViews>
    <sheetView topLeftCell="A51" zoomScale="25" zoomScaleNormal="25" workbookViewId="0">
      <selection activeCell="L46" sqref="L46"/>
    </sheetView>
  </sheetViews>
  <sheetFormatPr defaultRowHeight="15" x14ac:dyDescent="0.25"/>
  <cols>
    <col min="1" max="1" width="22" bestFit="1" customWidth="1"/>
    <col min="2" max="2" width="38.5703125" bestFit="1" customWidth="1"/>
    <col min="3" max="3" width="27.7109375" bestFit="1" customWidth="1"/>
    <col min="4" max="4" width="8.42578125" bestFit="1" customWidth="1"/>
    <col min="5" max="5" width="33.140625" bestFit="1" customWidth="1"/>
    <col min="6" max="6" width="8.42578125" bestFit="1" customWidth="1"/>
    <col min="7" max="7" width="32.140625" bestFit="1" customWidth="1"/>
    <col min="8" max="8" width="8.42578125" bestFit="1" customWidth="1"/>
    <col min="9" max="9" width="24.85546875" bestFit="1" customWidth="1"/>
    <col min="10" max="10" width="8.42578125" bestFit="1" customWidth="1"/>
    <col min="11" max="11" width="24" bestFit="1" customWidth="1"/>
    <col min="12" max="13" width="8.42578125" bestFit="1" customWidth="1"/>
    <col min="14" max="14" width="19.85546875" bestFit="1" customWidth="1"/>
    <col min="15" max="15" width="30.85546875" bestFit="1" customWidth="1"/>
    <col min="16" max="16" width="8.42578125" customWidth="1"/>
    <col min="17" max="18" width="8.42578125" bestFit="1" customWidth="1"/>
    <col min="19" max="19" width="16.28515625" bestFit="1" customWidth="1"/>
    <col min="20" max="21" width="5" bestFit="1" customWidth="1"/>
    <col min="22" max="22" width="4" bestFit="1" customWidth="1"/>
    <col min="23" max="26" width="5" bestFit="1" customWidth="1"/>
    <col min="27" max="27" width="19.85546875" bestFit="1" customWidth="1"/>
    <col min="28" max="28" width="30.85546875" bestFit="1" customWidth="1"/>
    <col min="29" max="29" width="22.28515625" bestFit="1" customWidth="1"/>
    <col min="30" max="30" width="29.42578125" bestFit="1" customWidth="1"/>
    <col min="31" max="37" width="8" bestFit="1" customWidth="1"/>
    <col min="38" max="38" width="22" bestFit="1" customWidth="1"/>
    <col min="39" max="39" width="43.5703125" bestFit="1" customWidth="1"/>
    <col min="40" max="46" width="8" bestFit="1" customWidth="1"/>
    <col min="47" max="47" width="17.7109375" bestFit="1" customWidth="1"/>
    <col min="48" max="48" width="5" bestFit="1" customWidth="1"/>
    <col min="49" max="49" width="4" bestFit="1" customWidth="1"/>
    <col min="50" max="52" width="5" bestFit="1" customWidth="1"/>
    <col min="53" max="53" width="19.85546875" bestFit="1" customWidth="1"/>
    <col min="54" max="54" width="28.7109375" bestFit="1" customWidth="1"/>
    <col min="55" max="59" width="5" bestFit="1" customWidth="1"/>
    <col min="60" max="60" width="4" bestFit="1" customWidth="1"/>
    <col min="61" max="65" width="5" bestFit="1" customWidth="1"/>
    <col min="66" max="66" width="4" bestFit="1" customWidth="1"/>
    <col min="67" max="68" width="5" bestFit="1" customWidth="1"/>
    <col min="69" max="69" width="4" bestFit="1" customWidth="1"/>
    <col min="70" max="75" width="5" bestFit="1" customWidth="1"/>
    <col min="76" max="76" width="2" bestFit="1" customWidth="1"/>
    <col min="77" max="92" width="5" bestFit="1" customWidth="1"/>
    <col min="93" max="93" width="4" bestFit="1" customWidth="1"/>
    <col min="94" max="109" width="5" bestFit="1" customWidth="1"/>
    <col min="110" max="110" width="4" bestFit="1" customWidth="1"/>
    <col min="111" max="121" width="5" bestFit="1" customWidth="1"/>
    <col min="122" max="122" width="4" bestFit="1" customWidth="1"/>
    <col min="123" max="125" width="5" bestFit="1" customWidth="1"/>
    <col min="126" max="126" width="4" bestFit="1" customWidth="1"/>
    <col min="127" max="143" width="5" bestFit="1" customWidth="1"/>
    <col min="144" max="144" width="2" bestFit="1" customWidth="1"/>
    <col min="145" max="150" width="5" bestFit="1" customWidth="1"/>
    <col min="151" max="151" width="4" bestFit="1" customWidth="1"/>
    <col min="152" max="158" width="5" bestFit="1" customWidth="1"/>
    <col min="159" max="159" width="4" bestFit="1" customWidth="1"/>
    <col min="160" max="161" width="5" bestFit="1" customWidth="1"/>
    <col min="162" max="162" width="2" bestFit="1" customWidth="1"/>
    <col min="163" max="166" width="5" bestFit="1" customWidth="1"/>
    <col min="167" max="167" width="4" bestFit="1" customWidth="1"/>
    <col min="168" max="169" width="5" bestFit="1" customWidth="1"/>
    <col min="170" max="170" width="4" bestFit="1" customWidth="1"/>
    <col min="171" max="179" width="5" bestFit="1" customWidth="1"/>
    <col min="180" max="180" width="4" bestFit="1" customWidth="1"/>
    <col min="181" max="182" width="5" bestFit="1" customWidth="1"/>
    <col min="183" max="185" width="6" bestFit="1" customWidth="1"/>
    <col min="186" max="186" width="5" bestFit="1" customWidth="1"/>
    <col min="187" max="188" width="6" bestFit="1" customWidth="1"/>
    <col min="189" max="189" width="5" bestFit="1" customWidth="1"/>
    <col min="190" max="191" width="6" bestFit="1" customWidth="1"/>
    <col min="192" max="192" width="5" bestFit="1" customWidth="1"/>
    <col min="193" max="198" width="6" bestFit="1" customWidth="1"/>
    <col min="199" max="199" width="5" bestFit="1" customWidth="1"/>
    <col min="200" max="205" width="6" bestFit="1" customWidth="1"/>
    <col min="206" max="206" width="3" bestFit="1" customWidth="1"/>
    <col min="207" max="212" width="6" bestFit="1" customWidth="1"/>
    <col min="213" max="213" width="5" bestFit="1" customWidth="1"/>
    <col min="214" max="224" width="6" bestFit="1" customWidth="1"/>
    <col min="225" max="225" width="5" bestFit="1" customWidth="1"/>
    <col min="226" max="227" width="6" bestFit="1" customWidth="1"/>
    <col min="228" max="228" width="5" bestFit="1" customWidth="1"/>
    <col min="229" max="247" width="6" bestFit="1" customWidth="1"/>
    <col min="248" max="248" width="5" bestFit="1" customWidth="1"/>
    <col min="249" max="252" width="6" bestFit="1" customWidth="1"/>
    <col min="253" max="253" width="3" bestFit="1" customWidth="1"/>
    <col min="254" max="265" width="6" bestFit="1" customWidth="1"/>
    <col min="266" max="266" width="5" bestFit="1" customWidth="1"/>
    <col min="267" max="273" width="6" bestFit="1" customWidth="1"/>
    <col min="274" max="274" width="5" bestFit="1" customWidth="1"/>
    <col min="275" max="275" width="6" bestFit="1" customWidth="1"/>
    <col min="276" max="276" width="5" bestFit="1" customWidth="1"/>
    <col min="277" max="284" width="6" bestFit="1" customWidth="1"/>
    <col min="285" max="285" width="5" bestFit="1" customWidth="1"/>
    <col min="286" max="289" width="6" bestFit="1" customWidth="1"/>
    <col min="290" max="290" width="5" bestFit="1" customWidth="1"/>
    <col min="291" max="300" width="6" bestFit="1" customWidth="1"/>
    <col min="301" max="301" width="5" bestFit="1" customWidth="1"/>
    <col min="302" max="311" width="6" bestFit="1" customWidth="1"/>
    <col min="312" max="313" width="5" bestFit="1" customWidth="1"/>
    <col min="314" max="317" width="6" bestFit="1" customWidth="1"/>
    <col min="318" max="318" width="5" bestFit="1" customWidth="1"/>
    <col min="319" max="331" width="6" bestFit="1" customWidth="1"/>
    <col min="332" max="332" width="5" bestFit="1" customWidth="1"/>
    <col min="333" max="333" width="6" bestFit="1" customWidth="1"/>
    <col min="334" max="334" width="5" bestFit="1" customWidth="1"/>
    <col min="335" max="349" width="6" bestFit="1" customWidth="1"/>
    <col min="350" max="350" width="5" bestFit="1" customWidth="1"/>
    <col min="351" max="364" width="6" bestFit="1" customWidth="1"/>
    <col min="365" max="365" width="5" bestFit="1" customWidth="1"/>
    <col min="366" max="378" width="6" bestFit="1" customWidth="1"/>
    <col min="379" max="379" width="5" bestFit="1" customWidth="1"/>
    <col min="380" max="381" width="6" bestFit="1" customWidth="1"/>
    <col min="382" max="382" width="3" bestFit="1" customWidth="1"/>
    <col min="383" max="397" width="6" bestFit="1" customWidth="1"/>
    <col min="398" max="398" width="3" bestFit="1" customWidth="1"/>
    <col min="399" max="406" width="6" bestFit="1" customWidth="1"/>
    <col min="407" max="408" width="5" bestFit="1" customWidth="1"/>
    <col min="409" max="409" width="6" bestFit="1" customWidth="1"/>
    <col min="410" max="410" width="5" bestFit="1" customWidth="1"/>
    <col min="411" max="419" width="6" bestFit="1" customWidth="1"/>
    <col min="420" max="420" width="3" bestFit="1" customWidth="1"/>
    <col min="421" max="423" width="6" bestFit="1" customWidth="1"/>
    <col min="424" max="424" width="5" bestFit="1" customWidth="1"/>
    <col min="425" max="425" width="3" bestFit="1" customWidth="1"/>
    <col min="426" max="440" width="6" bestFit="1" customWidth="1"/>
    <col min="441" max="441" width="5" bestFit="1" customWidth="1"/>
    <col min="442" max="442" width="6" bestFit="1" customWidth="1"/>
    <col min="443" max="443" width="5" bestFit="1" customWidth="1"/>
    <col min="444" max="458" width="6" bestFit="1" customWidth="1"/>
    <col min="459" max="459" width="11.28515625" bestFit="1" customWidth="1"/>
  </cols>
  <sheetData>
    <row r="1" spans="1:54" ht="24" x14ac:dyDescent="0.4">
      <c r="A1" s="7" t="s">
        <v>547</v>
      </c>
    </row>
    <row r="2" spans="1:54" x14ac:dyDescent="0.25">
      <c r="I2" s="10"/>
      <c r="K2" s="10"/>
    </row>
    <row r="3" spans="1:54" ht="18.75" x14ac:dyDescent="0.3">
      <c r="A3" s="12" t="s">
        <v>548</v>
      </c>
      <c r="C3" s="12" t="s">
        <v>549</v>
      </c>
      <c r="E3" s="12" t="s">
        <v>550</v>
      </c>
      <c r="G3" s="12" t="s">
        <v>551</v>
      </c>
      <c r="I3" s="12" t="s">
        <v>552</v>
      </c>
      <c r="J3" s="10"/>
      <c r="K3" s="12" t="s">
        <v>553</v>
      </c>
    </row>
    <row r="4" spans="1:54" ht="18.75" x14ac:dyDescent="0.3">
      <c r="A4" s="14">
        <f>SUM(tbl_airline_financials[revenue_usd_bn])</f>
        <v>7811.2500000000045</v>
      </c>
      <c r="C4" s="11">
        <f>SUM(tbl_airline_financials[passengers_carried_m])</f>
        <v>14077.8</v>
      </c>
      <c r="E4" s="11">
        <f>ROUND(SUM(passenger_traffic!G:G),2)</f>
        <v>94783</v>
      </c>
      <c r="G4" s="11">
        <f>SUM(fleet_orders!E:E)</f>
        <v>33287</v>
      </c>
      <c r="I4" s="11">
        <f>SUM(fleet_orders!F:F)</f>
        <v>20619</v>
      </c>
      <c r="J4" s="10"/>
      <c r="K4" s="11">
        <f>COUNTA(tbl_aviation_incidents[incident_id])</f>
        <v>40</v>
      </c>
    </row>
    <row r="8" spans="1:54" ht="24" x14ac:dyDescent="0.4">
      <c r="A8" s="7" t="s">
        <v>499</v>
      </c>
    </row>
    <row r="9" spans="1:54" x14ac:dyDescent="0.25">
      <c r="A9" s="6"/>
    </row>
    <row r="10" spans="1:54" ht="18.75" x14ac:dyDescent="0.3">
      <c r="A10" s="8" t="s">
        <v>503</v>
      </c>
      <c r="N10" s="8" t="s">
        <v>504</v>
      </c>
      <c r="AA10" s="8" t="s">
        <v>505</v>
      </c>
      <c r="AL10" s="8" t="s">
        <v>506</v>
      </c>
      <c r="BA10" s="8" t="s">
        <v>556</v>
      </c>
    </row>
    <row r="11" spans="1:54" x14ac:dyDescent="0.25">
      <c r="A11" s="3" t="s">
        <v>495</v>
      </c>
      <c r="B11" t="s">
        <v>498</v>
      </c>
      <c r="N11" s="3" t="s">
        <v>495</v>
      </c>
      <c r="O11" t="s">
        <v>498</v>
      </c>
      <c r="AA11" s="3" t="s">
        <v>495</v>
      </c>
      <c r="AB11" t="s">
        <v>498</v>
      </c>
      <c r="AL11" s="3" t="s">
        <v>495</v>
      </c>
      <c r="AM11" t="s">
        <v>500</v>
      </c>
      <c r="BA11" s="3" t="s">
        <v>495</v>
      </c>
      <c r="BB11" t="s">
        <v>554</v>
      </c>
    </row>
    <row r="12" spans="1:54" x14ac:dyDescent="0.25">
      <c r="A12" s="4" t="s">
        <v>12</v>
      </c>
      <c r="B12" s="1">
        <v>744.14</v>
      </c>
      <c r="N12" s="4">
        <v>2010</v>
      </c>
      <c r="O12" s="1">
        <v>317.66999999999996</v>
      </c>
      <c r="AA12" s="4" t="s">
        <v>15</v>
      </c>
      <c r="AB12" s="1">
        <v>2678.3300000000027</v>
      </c>
      <c r="AD12" s="4" t="s">
        <v>15</v>
      </c>
      <c r="AE12" s="1">
        <v>2678.3300000000027</v>
      </c>
      <c r="AL12" s="4" t="s">
        <v>72</v>
      </c>
      <c r="AM12" s="5">
        <v>5.9000000000000012</v>
      </c>
      <c r="BA12" s="4" t="s">
        <v>16</v>
      </c>
      <c r="BB12" s="1">
        <v>361</v>
      </c>
    </row>
    <row r="13" spans="1:54" x14ac:dyDescent="0.25">
      <c r="A13" s="4" t="s">
        <v>19</v>
      </c>
      <c r="B13" s="1">
        <v>683.2600000000001</v>
      </c>
      <c r="N13" s="4">
        <v>2011</v>
      </c>
      <c r="O13" s="1">
        <v>344.32000000000005</v>
      </c>
      <c r="AA13" s="4" t="s">
        <v>32</v>
      </c>
      <c r="AB13" s="1">
        <v>2111.2099999999996</v>
      </c>
      <c r="AD13" s="4" t="s">
        <v>32</v>
      </c>
      <c r="AE13" s="1">
        <v>2111.2099999999996</v>
      </c>
      <c r="AL13" s="4" t="s">
        <v>87</v>
      </c>
      <c r="AM13" s="5">
        <v>5.9000000000000012</v>
      </c>
      <c r="BA13" s="4" t="s">
        <v>23</v>
      </c>
      <c r="BB13" s="1">
        <v>119</v>
      </c>
    </row>
    <row r="14" spans="1:54" x14ac:dyDescent="0.25">
      <c r="A14" s="4" t="s">
        <v>17</v>
      </c>
      <c r="B14" s="1">
        <v>663.56999999999994</v>
      </c>
      <c r="N14" s="4">
        <v>2012</v>
      </c>
      <c r="O14" s="1">
        <v>371.91</v>
      </c>
      <c r="AA14" s="4" t="s">
        <v>53</v>
      </c>
      <c r="AB14" s="1">
        <v>1991.7599999999995</v>
      </c>
      <c r="AD14" s="4" t="s">
        <v>53</v>
      </c>
      <c r="AE14" s="1">
        <v>1991.7599999999995</v>
      </c>
      <c r="AL14" s="4" t="s">
        <v>92</v>
      </c>
      <c r="AM14" s="5">
        <v>5.9000000000000012</v>
      </c>
      <c r="BA14" s="4" t="s">
        <v>26</v>
      </c>
      <c r="BB14" s="1">
        <v>17</v>
      </c>
    </row>
    <row r="15" spans="1:54" x14ac:dyDescent="0.25">
      <c r="A15" s="4" t="s">
        <v>29</v>
      </c>
      <c r="B15" s="1">
        <v>610.86999999999989</v>
      </c>
      <c r="N15" s="4">
        <v>2013</v>
      </c>
      <c r="O15" s="1">
        <v>393.88000000000011</v>
      </c>
      <c r="AA15" s="4" t="s">
        <v>81</v>
      </c>
      <c r="AB15" s="1">
        <v>834.62</v>
      </c>
      <c r="AD15" s="4" t="s">
        <v>81</v>
      </c>
      <c r="AE15" s="1">
        <v>834.62</v>
      </c>
      <c r="AL15" s="4" t="s">
        <v>54</v>
      </c>
      <c r="AM15" s="5">
        <v>5.9000000000000012</v>
      </c>
      <c r="BA15" s="4" t="s">
        <v>496</v>
      </c>
      <c r="BB15" s="1">
        <v>497</v>
      </c>
    </row>
    <row r="16" spans="1:54" x14ac:dyDescent="0.25">
      <c r="A16" s="4" t="s">
        <v>36</v>
      </c>
      <c r="B16" s="1">
        <v>490.19000000000005</v>
      </c>
      <c r="N16" s="4">
        <v>2014</v>
      </c>
      <c r="O16" s="1">
        <v>422.24999999999994</v>
      </c>
      <c r="AA16" s="4" t="s">
        <v>95</v>
      </c>
      <c r="AB16" s="1">
        <v>195.32999999999996</v>
      </c>
      <c r="AD16" s="4" t="s">
        <v>95</v>
      </c>
      <c r="AE16" s="1">
        <v>195.32999999999996</v>
      </c>
      <c r="AL16" s="4" t="s">
        <v>17</v>
      </c>
      <c r="AM16" s="5">
        <v>5.9000000000000012</v>
      </c>
    </row>
    <row r="17" spans="1:39" x14ac:dyDescent="0.25">
      <c r="A17" s="4" t="s">
        <v>33</v>
      </c>
      <c r="B17" s="1">
        <v>416.18</v>
      </c>
      <c r="N17" s="4">
        <v>2015</v>
      </c>
      <c r="O17" s="1">
        <v>444.5100000000001</v>
      </c>
      <c r="AA17" s="4" t="s">
        <v>496</v>
      </c>
      <c r="AB17" s="1">
        <v>7811.2500000000018</v>
      </c>
      <c r="AL17" s="4" t="s">
        <v>36</v>
      </c>
      <c r="AM17" s="5">
        <v>5.9000000000000012</v>
      </c>
    </row>
    <row r="18" spans="1:39" x14ac:dyDescent="0.25">
      <c r="A18" s="4" t="s">
        <v>78</v>
      </c>
      <c r="B18" s="1">
        <v>395.08</v>
      </c>
      <c r="N18" s="4">
        <v>2016</v>
      </c>
      <c r="O18" s="1">
        <v>472.26000000000005</v>
      </c>
      <c r="AL18" s="4" t="s">
        <v>27</v>
      </c>
      <c r="AM18" s="5">
        <v>5.9000000000000012</v>
      </c>
    </row>
    <row r="19" spans="1:39" x14ac:dyDescent="0.25">
      <c r="A19" s="4" t="s">
        <v>21</v>
      </c>
      <c r="B19" s="1">
        <v>346.40999999999997</v>
      </c>
      <c r="N19" s="4">
        <v>2017</v>
      </c>
      <c r="O19" s="1">
        <v>485.25999999999988</v>
      </c>
      <c r="AL19" s="4" t="s">
        <v>75</v>
      </c>
      <c r="AM19" s="5">
        <v>5.9000000000000012</v>
      </c>
    </row>
    <row r="20" spans="1:39" x14ac:dyDescent="0.25">
      <c r="A20" s="4" t="s">
        <v>50</v>
      </c>
      <c r="B20" s="1">
        <v>303.06</v>
      </c>
      <c r="N20" s="4">
        <v>2018</v>
      </c>
      <c r="O20" s="1">
        <v>510.34999999999991</v>
      </c>
      <c r="AL20" s="4" t="s">
        <v>82</v>
      </c>
      <c r="AM20" s="5">
        <v>5.9000000000000012</v>
      </c>
    </row>
    <row r="21" spans="1:39" x14ac:dyDescent="0.25">
      <c r="A21" s="4" t="s">
        <v>54</v>
      </c>
      <c r="B21" s="1">
        <v>290.53999999999996</v>
      </c>
      <c r="N21" s="4">
        <v>2019</v>
      </c>
      <c r="O21" s="1">
        <v>519.17000000000007</v>
      </c>
      <c r="AL21" s="4" t="s">
        <v>24</v>
      </c>
      <c r="AM21" s="5">
        <v>5.9000000000000012</v>
      </c>
    </row>
    <row r="22" spans="1:39" x14ac:dyDescent="0.25">
      <c r="A22" s="4" t="s">
        <v>61</v>
      </c>
      <c r="B22" s="1">
        <v>264.13</v>
      </c>
      <c r="N22" s="4">
        <v>2020</v>
      </c>
      <c r="O22" s="1">
        <v>204.48</v>
      </c>
      <c r="AL22" s="4" t="s">
        <v>21</v>
      </c>
      <c r="AM22" s="5">
        <v>5.9000000000000012</v>
      </c>
    </row>
    <row r="23" spans="1:39" x14ac:dyDescent="0.25">
      <c r="A23" s="4" t="s">
        <v>56</v>
      </c>
      <c r="B23" s="1">
        <v>250.51000000000002</v>
      </c>
      <c r="N23" s="4">
        <v>2021</v>
      </c>
      <c r="O23" s="1">
        <v>288.55000000000007</v>
      </c>
      <c r="AL23" s="4" t="s">
        <v>19</v>
      </c>
      <c r="AM23" s="5">
        <v>5.9000000000000012</v>
      </c>
    </row>
    <row r="24" spans="1:39" x14ac:dyDescent="0.25">
      <c r="A24" s="4" t="s">
        <v>82</v>
      </c>
      <c r="B24" s="1">
        <v>230.97</v>
      </c>
      <c r="N24" s="4">
        <v>2022</v>
      </c>
      <c r="O24" s="1">
        <v>476.07000000000011</v>
      </c>
      <c r="AL24" s="4" t="s">
        <v>33</v>
      </c>
      <c r="AM24" s="5">
        <v>5.9000000000000012</v>
      </c>
    </row>
    <row r="25" spans="1:39" x14ac:dyDescent="0.25">
      <c r="A25" s="4" t="s">
        <v>44</v>
      </c>
      <c r="B25" s="1">
        <v>229.8</v>
      </c>
      <c r="N25" s="4">
        <v>2023</v>
      </c>
      <c r="O25" s="1">
        <v>585.13</v>
      </c>
      <c r="AL25" s="4" t="s">
        <v>61</v>
      </c>
      <c r="AM25" s="5">
        <v>5.9000000000000012</v>
      </c>
    </row>
    <row r="26" spans="1:39" x14ac:dyDescent="0.25">
      <c r="A26" s="4" t="s">
        <v>66</v>
      </c>
      <c r="B26" s="1">
        <v>200.22</v>
      </c>
      <c r="N26" s="4">
        <v>2024</v>
      </c>
      <c r="O26" s="1">
        <v>611.96</v>
      </c>
      <c r="AL26" s="4" t="s">
        <v>58</v>
      </c>
      <c r="AM26" s="5">
        <v>5.9000000000000012</v>
      </c>
    </row>
    <row r="27" spans="1:39" x14ac:dyDescent="0.25">
      <c r="A27" s="4" t="s">
        <v>58</v>
      </c>
      <c r="B27" s="1">
        <v>197.00999999999996</v>
      </c>
      <c r="N27" s="4">
        <v>2025</v>
      </c>
      <c r="O27" s="1">
        <v>660.67</v>
      </c>
      <c r="AL27" s="4" t="s">
        <v>96</v>
      </c>
      <c r="AM27" s="5">
        <v>5.9000000000000012</v>
      </c>
    </row>
    <row r="28" spans="1:39" x14ac:dyDescent="0.25">
      <c r="A28" s="4" t="s">
        <v>63</v>
      </c>
      <c r="B28" s="1">
        <v>194.47</v>
      </c>
      <c r="N28" s="4">
        <v>2026</v>
      </c>
      <c r="O28" s="1">
        <v>702.81000000000029</v>
      </c>
      <c r="AL28" s="4" t="s">
        <v>69</v>
      </c>
      <c r="AM28" s="5">
        <v>5.9000000000000012</v>
      </c>
    </row>
    <row r="29" spans="1:39" x14ac:dyDescent="0.25">
      <c r="A29" s="4" t="s">
        <v>69</v>
      </c>
      <c r="B29" s="1">
        <v>182.42999999999998</v>
      </c>
      <c r="N29" s="4" t="s">
        <v>496</v>
      </c>
      <c r="O29" s="1">
        <v>7811.25</v>
      </c>
      <c r="AL29" s="4" t="s">
        <v>66</v>
      </c>
      <c r="AM29" s="5">
        <v>5.9000000000000012</v>
      </c>
    </row>
    <row r="30" spans="1:39" x14ac:dyDescent="0.25">
      <c r="A30" s="4" t="s">
        <v>92</v>
      </c>
      <c r="B30" s="1">
        <v>156.10999999999999</v>
      </c>
      <c r="AL30" s="4" t="s">
        <v>29</v>
      </c>
      <c r="AM30" s="5">
        <v>5.9000000000000012</v>
      </c>
    </row>
    <row r="31" spans="1:39" x14ac:dyDescent="0.25">
      <c r="A31" s="4" t="s">
        <v>39</v>
      </c>
      <c r="B31" s="1">
        <v>129.72999999999999</v>
      </c>
      <c r="AL31" s="4" t="s">
        <v>56</v>
      </c>
      <c r="AM31" s="5">
        <v>5.9000000000000012</v>
      </c>
    </row>
    <row r="32" spans="1:39" x14ac:dyDescent="0.25">
      <c r="A32" s="4" t="s">
        <v>42</v>
      </c>
      <c r="B32" s="1">
        <v>127.75999999999999</v>
      </c>
      <c r="AL32" s="4" t="s">
        <v>39</v>
      </c>
      <c r="AM32" s="5">
        <v>5.9000000000000012</v>
      </c>
    </row>
    <row r="33" spans="1:39" x14ac:dyDescent="0.25">
      <c r="A33" s="4" t="s">
        <v>24</v>
      </c>
      <c r="B33" s="1">
        <v>123.01</v>
      </c>
      <c r="AL33" s="4" t="s">
        <v>50</v>
      </c>
      <c r="AM33" s="5">
        <v>5.9000000000000012</v>
      </c>
    </row>
    <row r="34" spans="1:39" x14ac:dyDescent="0.25">
      <c r="A34" s="4" t="s">
        <v>27</v>
      </c>
      <c r="B34" s="1">
        <v>117.94</v>
      </c>
      <c r="AL34" s="4" t="s">
        <v>63</v>
      </c>
      <c r="AM34" s="5">
        <v>5.9000000000000012</v>
      </c>
    </row>
    <row r="35" spans="1:39" x14ac:dyDescent="0.25">
      <c r="A35" s="4" t="s">
        <v>47</v>
      </c>
      <c r="B35" s="1">
        <v>106.67999999999999</v>
      </c>
      <c r="AL35" s="4" t="s">
        <v>42</v>
      </c>
      <c r="AM35" s="5">
        <v>5.9000000000000012</v>
      </c>
    </row>
    <row r="36" spans="1:39" x14ac:dyDescent="0.25">
      <c r="A36" s="4" t="s">
        <v>85</v>
      </c>
      <c r="B36" s="1">
        <v>103.30999999999999</v>
      </c>
      <c r="AL36" s="4" t="s">
        <v>44</v>
      </c>
      <c r="AM36" s="5">
        <v>5.9000000000000012</v>
      </c>
    </row>
    <row r="37" spans="1:39" x14ac:dyDescent="0.25">
      <c r="A37" s="4" t="s">
        <v>87</v>
      </c>
      <c r="B37" s="1">
        <v>100.12999999999998</v>
      </c>
      <c r="AL37" s="4" t="s">
        <v>78</v>
      </c>
      <c r="AM37" s="5">
        <v>5.9000000000000012</v>
      </c>
    </row>
    <row r="38" spans="1:39" x14ac:dyDescent="0.25">
      <c r="A38" s="4" t="s">
        <v>72</v>
      </c>
      <c r="B38" s="1">
        <v>68.47999999999999</v>
      </c>
      <c r="AL38" s="4" t="s">
        <v>47</v>
      </c>
      <c r="AM38" s="5">
        <v>5.9000000000000012</v>
      </c>
    </row>
    <row r="39" spans="1:39" x14ac:dyDescent="0.25">
      <c r="A39" s="4" t="s">
        <v>75</v>
      </c>
      <c r="B39" s="1">
        <v>40.909999999999997</v>
      </c>
      <c r="AL39" s="4" t="s">
        <v>85</v>
      </c>
      <c r="AM39" s="5">
        <v>5.9000000000000012</v>
      </c>
    </row>
    <row r="40" spans="1:39" x14ac:dyDescent="0.25">
      <c r="A40" s="4" t="s">
        <v>96</v>
      </c>
      <c r="B40" s="1">
        <v>39.220000000000006</v>
      </c>
      <c r="AL40" s="4" t="s">
        <v>90</v>
      </c>
      <c r="AM40" s="5">
        <v>5.9</v>
      </c>
    </row>
    <row r="41" spans="1:39" x14ac:dyDescent="0.25">
      <c r="A41" s="4" t="s">
        <v>90</v>
      </c>
      <c r="B41" s="1">
        <v>5.13</v>
      </c>
      <c r="AL41" s="4" t="s">
        <v>12</v>
      </c>
      <c r="AM41" s="5">
        <v>5.7941176470588251</v>
      </c>
    </row>
    <row r="42" spans="1:39" x14ac:dyDescent="0.25">
      <c r="A42" s="4" t="s">
        <v>496</v>
      </c>
      <c r="B42" s="1">
        <v>7811.25</v>
      </c>
      <c r="AL42" s="4" t="s">
        <v>496</v>
      </c>
      <c r="AM42" s="1">
        <v>5.8963782696177587</v>
      </c>
    </row>
    <row r="49" spans="1:39" ht="24" x14ac:dyDescent="0.4">
      <c r="A49" s="7" t="s">
        <v>502</v>
      </c>
    </row>
    <row r="51" spans="1:39" ht="18.75" x14ac:dyDescent="0.3">
      <c r="A51" s="8" t="s">
        <v>507</v>
      </c>
      <c r="N51" s="8"/>
      <c r="AA51" s="8" t="s">
        <v>510</v>
      </c>
      <c r="AL51" s="8" t="s">
        <v>511</v>
      </c>
    </row>
    <row r="52" spans="1:39" x14ac:dyDescent="0.25">
      <c r="A52" s="3" t="s">
        <v>508</v>
      </c>
      <c r="B52" s="3" t="s">
        <v>497</v>
      </c>
      <c r="AA52" s="3" t="s">
        <v>495</v>
      </c>
      <c r="AB52" t="s">
        <v>509</v>
      </c>
      <c r="AL52" s="3" t="s">
        <v>495</v>
      </c>
      <c r="AM52" t="s">
        <v>512</v>
      </c>
    </row>
    <row r="53" spans="1:39" x14ac:dyDescent="0.25">
      <c r="A53" s="3" t="s">
        <v>495</v>
      </c>
      <c r="B53">
        <v>2010</v>
      </c>
      <c r="C53">
        <v>2011</v>
      </c>
      <c r="D53">
        <v>2012</v>
      </c>
      <c r="E53">
        <v>2013</v>
      </c>
      <c r="F53">
        <v>2014</v>
      </c>
      <c r="G53">
        <v>2015</v>
      </c>
      <c r="H53">
        <v>2016</v>
      </c>
      <c r="I53">
        <v>2017</v>
      </c>
      <c r="J53">
        <v>2018</v>
      </c>
      <c r="K53">
        <v>2019</v>
      </c>
      <c r="L53">
        <v>2020</v>
      </c>
      <c r="M53">
        <v>2021</v>
      </c>
      <c r="N53">
        <v>2022</v>
      </c>
      <c r="O53">
        <v>2023</v>
      </c>
      <c r="P53">
        <v>2024</v>
      </c>
      <c r="Q53">
        <v>2025</v>
      </c>
      <c r="R53">
        <v>2026</v>
      </c>
      <c r="S53" t="s">
        <v>496</v>
      </c>
      <c r="AA53" s="4">
        <v>2018</v>
      </c>
      <c r="AB53" s="1">
        <v>1696</v>
      </c>
      <c r="AL53" s="4" t="s">
        <v>108</v>
      </c>
      <c r="AM53" s="1">
        <v>118676</v>
      </c>
    </row>
    <row r="54" spans="1:39" x14ac:dyDescent="0.25">
      <c r="A54" s="4" t="s">
        <v>108</v>
      </c>
      <c r="B54" s="1">
        <v>574</v>
      </c>
      <c r="C54" s="1">
        <v>922</v>
      </c>
      <c r="D54" s="1">
        <v>1270</v>
      </c>
      <c r="E54" s="1">
        <v>1619</v>
      </c>
      <c r="F54" s="1">
        <v>1327</v>
      </c>
      <c r="G54" s="1">
        <v>1036</v>
      </c>
      <c r="H54" s="1">
        <v>1081</v>
      </c>
      <c r="I54" s="1">
        <v>1127</v>
      </c>
      <c r="J54" s="1">
        <v>748</v>
      </c>
      <c r="K54" s="1">
        <v>768</v>
      </c>
      <c r="L54" s="1">
        <v>368</v>
      </c>
      <c r="M54" s="1">
        <v>857</v>
      </c>
      <c r="N54" s="1">
        <v>1172</v>
      </c>
      <c r="O54" s="1">
        <v>2080</v>
      </c>
      <c r="P54" s="1">
        <v>1768</v>
      </c>
      <c r="Q54" s="1">
        <v>1440</v>
      </c>
      <c r="R54" s="1">
        <v>540</v>
      </c>
      <c r="S54" s="1">
        <v>18697</v>
      </c>
      <c r="AA54" s="4">
        <v>2017</v>
      </c>
      <c r="AB54" s="1">
        <v>1440</v>
      </c>
      <c r="AL54" s="4" t="s">
        <v>111</v>
      </c>
      <c r="AM54" s="1">
        <v>94681</v>
      </c>
    </row>
    <row r="55" spans="1:39" x14ac:dyDescent="0.25">
      <c r="A55" s="4" t="s">
        <v>111</v>
      </c>
      <c r="B55" s="1">
        <v>530</v>
      </c>
      <c r="C55" s="1">
        <v>863</v>
      </c>
      <c r="D55" s="1">
        <v>1197</v>
      </c>
      <c r="E55" s="1">
        <v>1531</v>
      </c>
      <c r="F55" s="1">
        <v>1149</v>
      </c>
      <c r="G55" s="1">
        <v>768</v>
      </c>
      <c r="H55" s="1">
        <v>839</v>
      </c>
      <c r="I55" s="1">
        <v>912</v>
      </c>
      <c r="J55" s="1">
        <v>893</v>
      </c>
      <c r="K55" s="1">
        <v>-54</v>
      </c>
      <c r="L55" s="1">
        <v>-1019</v>
      </c>
      <c r="M55" s="1">
        <v>835</v>
      </c>
      <c r="N55" s="1">
        <v>935</v>
      </c>
      <c r="O55" s="1">
        <v>1476</v>
      </c>
      <c r="P55" s="1">
        <v>769</v>
      </c>
      <c r="Q55" s="1">
        <v>895</v>
      </c>
      <c r="R55" s="1">
        <v>340</v>
      </c>
      <c r="S55" s="1">
        <v>12859</v>
      </c>
      <c r="AA55" s="4">
        <v>2025</v>
      </c>
      <c r="AB55" s="1">
        <v>1439</v>
      </c>
      <c r="AL55" s="4" t="s">
        <v>114</v>
      </c>
      <c r="AM55" s="1">
        <v>10291</v>
      </c>
    </row>
    <row r="56" spans="1:39" x14ac:dyDescent="0.25">
      <c r="A56" s="4" t="s">
        <v>114</v>
      </c>
      <c r="B56" s="1"/>
      <c r="C56" s="1"/>
      <c r="D56" s="1"/>
      <c r="E56" s="1"/>
      <c r="F56" s="1"/>
      <c r="G56" s="1"/>
      <c r="H56" s="1"/>
      <c r="I56" s="1"/>
      <c r="J56" s="1">
        <v>24</v>
      </c>
      <c r="K56" s="1">
        <v>27</v>
      </c>
      <c r="L56" s="1">
        <v>30</v>
      </c>
      <c r="M56" s="1">
        <v>65</v>
      </c>
      <c r="N56" s="1">
        <v>100</v>
      </c>
      <c r="O56" s="1">
        <v>250</v>
      </c>
      <c r="P56" s="1">
        <v>220</v>
      </c>
      <c r="Q56" s="1">
        <v>200</v>
      </c>
      <c r="R56" s="1">
        <v>90</v>
      </c>
      <c r="S56" s="1">
        <v>1006</v>
      </c>
      <c r="AA56" s="4">
        <v>2016</v>
      </c>
      <c r="AB56" s="1">
        <v>1418</v>
      </c>
      <c r="AL56" s="4" t="s">
        <v>116</v>
      </c>
      <c r="AM56" s="1">
        <v>3739</v>
      </c>
    </row>
    <row r="57" spans="1:39" x14ac:dyDescent="0.25">
      <c r="A57" s="4" t="s">
        <v>116</v>
      </c>
      <c r="B57" s="1"/>
      <c r="C57" s="1"/>
      <c r="D57" s="1"/>
      <c r="E57" s="1"/>
      <c r="F57" s="1"/>
      <c r="G57" s="1"/>
      <c r="H57" s="1"/>
      <c r="I57" s="1"/>
      <c r="J57" s="1">
        <v>89</v>
      </c>
      <c r="K57" s="1">
        <v>58</v>
      </c>
      <c r="L57" s="1">
        <v>28</v>
      </c>
      <c r="M57" s="1">
        <v>37</v>
      </c>
      <c r="N57" s="1">
        <v>47</v>
      </c>
      <c r="O57" s="1">
        <v>108</v>
      </c>
      <c r="P57" s="1">
        <v>169</v>
      </c>
      <c r="Q57" s="1">
        <v>119</v>
      </c>
      <c r="R57" s="1">
        <v>70</v>
      </c>
      <c r="S57" s="1">
        <v>725</v>
      </c>
      <c r="AA57" s="4">
        <v>2015</v>
      </c>
      <c r="AB57" s="1">
        <v>1398</v>
      </c>
      <c r="AL57" s="4" t="s">
        <v>496</v>
      </c>
      <c r="AM57" s="1">
        <v>227387</v>
      </c>
    </row>
    <row r="58" spans="1:39" x14ac:dyDescent="0.25">
      <c r="A58" s="4" t="s">
        <v>496</v>
      </c>
      <c r="B58" s="1">
        <v>1104</v>
      </c>
      <c r="C58" s="1">
        <v>1785</v>
      </c>
      <c r="D58" s="1">
        <v>2467</v>
      </c>
      <c r="E58" s="1">
        <v>3150</v>
      </c>
      <c r="F58" s="1">
        <v>2476</v>
      </c>
      <c r="G58" s="1">
        <v>1804</v>
      </c>
      <c r="H58" s="1">
        <v>1920</v>
      </c>
      <c r="I58" s="1">
        <v>2039</v>
      </c>
      <c r="J58" s="1">
        <v>1754</v>
      </c>
      <c r="K58" s="1">
        <v>799</v>
      </c>
      <c r="L58" s="1">
        <v>-593</v>
      </c>
      <c r="M58" s="1">
        <v>1794</v>
      </c>
      <c r="N58" s="1">
        <v>2254</v>
      </c>
      <c r="O58" s="1">
        <v>3914</v>
      </c>
      <c r="P58" s="1">
        <v>2926</v>
      </c>
      <c r="Q58" s="1">
        <v>2654</v>
      </c>
      <c r="R58" s="1">
        <v>1040</v>
      </c>
      <c r="S58" s="1">
        <v>33287</v>
      </c>
      <c r="AA58" s="4">
        <v>2014</v>
      </c>
      <c r="AB58" s="1">
        <v>1335</v>
      </c>
    </row>
    <row r="59" spans="1:39" x14ac:dyDescent="0.25">
      <c r="AA59" s="4">
        <v>2023</v>
      </c>
      <c r="AB59" s="1">
        <v>1332</v>
      </c>
    </row>
    <row r="60" spans="1:39" x14ac:dyDescent="0.25">
      <c r="AA60" s="4">
        <v>2019</v>
      </c>
      <c r="AB60" s="1">
        <v>1316</v>
      </c>
    </row>
    <row r="61" spans="1:39" x14ac:dyDescent="0.25">
      <c r="AA61" s="4">
        <v>2013</v>
      </c>
      <c r="AB61" s="1">
        <v>1274</v>
      </c>
    </row>
    <row r="62" spans="1:39" x14ac:dyDescent="0.25">
      <c r="AA62" s="4">
        <v>2024</v>
      </c>
      <c r="AB62" s="1">
        <v>1200</v>
      </c>
    </row>
    <row r="63" spans="1:39" x14ac:dyDescent="0.25">
      <c r="AA63" s="4">
        <v>2022</v>
      </c>
      <c r="AB63" s="1">
        <v>1198</v>
      </c>
    </row>
    <row r="64" spans="1:39" x14ac:dyDescent="0.25">
      <c r="AA64" s="4">
        <v>2012</v>
      </c>
      <c r="AB64" s="1">
        <v>1172</v>
      </c>
    </row>
    <row r="65" spans="1:28" x14ac:dyDescent="0.25">
      <c r="AA65" s="4">
        <v>2011</v>
      </c>
      <c r="AB65" s="1">
        <v>1071</v>
      </c>
    </row>
    <row r="66" spans="1:28" x14ac:dyDescent="0.25">
      <c r="AA66" s="4">
        <v>2021</v>
      </c>
      <c r="AB66" s="1">
        <v>1007</v>
      </c>
    </row>
    <row r="67" spans="1:28" x14ac:dyDescent="0.25">
      <c r="AA67" s="4">
        <v>2010</v>
      </c>
      <c r="AB67" s="1">
        <v>972</v>
      </c>
    </row>
    <row r="68" spans="1:28" x14ac:dyDescent="0.25">
      <c r="AA68" s="4">
        <v>2020</v>
      </c>
      <c r="AB68" s="1">
        <v>779</v>
      </c>
    </row>
    <row r="69" spans="1:28" x14ac:dyDescent="0.25">
      <c r="AA69" s="4">
        <v>2026</v>
      </c>
      <c r="AB69" s="1">
        <v>572</v>
      </c>
    </row>
    <row r="70" spans="1:28" x14ac:dyDescent="0.25">
      <c r="AA70" s="4" t="s">
        <v>496</v>
      </c>
      <c r="AB70" s="1">
        <v>20619</v>
      </c>
    </row>
    <row r="75" spans="1:28" ht="24" x14ac:dyDescent="0.4">
      <c r="A75" s="7" t="s">
        <v>501</v>
      </c>
    </row>
    <row r="76" spans="1:28" ht="24" x14ac:dyDescent="0.4">
      <c r="A76" s="9"/>
    </row>
    <row r="77" spans="1:28" ht="18.75" x14ac:dyDescent="0.3">
      <c r="A77" s="8" t="s">
        <v>513</v>
      </c>
      <c r="N77" s="8" t="s">
        <v>515</v>
      </c>
      <c r="AA77" s="8" t="s">
        <v>517</v>
      </c>
    </row>
    <row r="78" spans="1:28" x14ac:dyDescent="0.25">
      <c r="A78" s="3" t="s">
        <v>495</v>
      </c>
      <c r="B78" t="s">
        <v>514</v>
      </c>
      <c r="N78" s="3" t="s">
        <v>495</v>
      </c>
      <c r="O78" t="s">
        <v>516</v>
      </c>
      <c r="AA78" s="3" t="s">
        <v>495</v>
      </c>
      <c r="AB78" t="s">
        <v>535</v>
      </c>
    </row>
    <row r="79" spans="1:28" x14ac:dyDescent="0.25">
      <c r="A79" s="4" t="s">
        <v>21</v>
      </c>
      <c r="B79" s="1">
        <v>1385.5</v>
      </c>
      <c r="N79" s="4" t="s">
        <v>123</v>
      </c>
      <c r="O79" s="1">
        <v>80.776530612244912</v>
      </c>
      <c r="AA79" s="4" t="s">
        <v>518</v>
      </c>
      <c r="AB79" s="1">
        <v>3176.5799999999981</v>
      </c>
    </row>
    <row r="80" spans="1:28" x14ac:dyDescent="0.25">
      <c r="A80" s="4" t="s">
        <v>12</v>
      </c>
      <c r="B80" s="1">
        <v>1116.2</v>
      </c>
      <c r="N80" s="4" t="s">
        <v>122</v>
      </c>
      <c r="O80" s="1">
        <v>80.699489795918353</v>
      </c>
      <c r="AA80" s="4" t="s">
        <v>519</v>
      </c>
      <c r="AB80" s="1">
        <v>3372.4299999999989</v>
      </c>
    </row>
    <row r="81" spans="1:28" x14ac:dyDescent="0.25">
      <c r="A81" s="4" t="s">
        <v>19</v>
      </c>
      <c r="B81" s="1">
        <v>1024.8999999999999</v>
      </c>
      <c r="N81" s="4" t="s">
        <v>81</v>
      </c>
      <c r="O81" s="1">
        <v>80.676530612244889</v>
      </c>
      <c r="AA81" s="4" t="s">
        <v>520</v>
      </c>
      <c r="AB81" s="1">
        <v>3588.3300000000017</v>
      </c>
    </row>
    <row r="82" spans="1:28" x14ac:dyDescent="0.25">
      <c r="A82" s="4" t="s">
        <v>17</v>
      </c>
      <c r="B82" s="1">
        <v>995.4</v>
      </c>
      <c r="N82" s="4" t="s">
        <v>95</v>
      </c>
      <c r="O82" s="1">
        <v>80.668877551020387</v>
      </c>
      <c r="AA82" s="4" t="s">
        <v>521</v>
      </c>
      <c r="AB82" s="1">
        <v>3786.81</v>
      </c>
    </row>
    <row r="83" spans="1:28" x14ac:dyDescent="0.25">
      <c r="A83" s="4" t="s">
        <v>29</v>
      </c>
      <c r="B83" s="1">
        <v>916.3</v>
      </c>
      <c r="N83" s="4" t="s">
        <v>32</v>
      </c>
      <c r="O83" s="1">
        <v>80.446428571428555</v>
      </c>
      <c r="AA83" s="4" t="s">
        <v>522</v>
      </c>
      <c r="AB83" s="1">
        <v>3990.6899999999991</v>
      </c>
    </row>
    <row r="84" spans="1:28" x14ac:dyDescent="0.25">
      <c r="A84" s="4" t="s">
        <v>36</v>
      </c>
      <c r="B84" s="1">
        <v>735.50000000000023</v>
      </c>
      <c r="N84" s="4" t="s">
        <v>15</v>
      </c>
      <c r="O84" s="1">
        <v>80.318877551020407</v>
      </c>
      <c r="AA84" s="4" t="s">
        <v>523</v>
      </c>
      <c r="AB84" s="1">
        <v>4214.4000000000005</v>
      </c>
    </row>
    <row r="85" spans="1:28" x14ac:dyDescent="0.25">
      <c r="A85" s="4" t="s">
        <v>33</v>
      </c>
      <c r="B85" s="1">
        <v>624.29999999999995</v>
      </c>
      <c r="N85" s="4" t="s">
        <v>496</v>
      </c>
      <c r="O85" s="1">
        <v>80.597789115646293</v>
      </c>
      <c r="AA85" s="4" t="s">
        <v>524</v>
      </c>
      <c r="AB85" s="1">
        <v>4484.2199999999993</v>
      </c>
    </row>
    <row r="86" spans="1:28" x14ac:dyDescent="0.25">
      <c r="A86" s="4" t="s">
        <v>78</v>
      </c>
      <c r="B86" s="1">
        <v>592.69999999999993</v>
      </c>
      <c r="AA86" s="4" t="s">
        <v>525</v>
      </c>
      <c r="AB86" s="1">
        <v>4719.4199999999973</v>
      </c>
    </row>
    <row r="87" spans="1:28" x14ac:dyDescent="0.25">
      <c r="A87" s="4" t="s">
        <v>39</v>
      </c>
      <c r="B87" s="1">
        <v>518.60000000000014</v>
      </c>
      <c r="AA87" s="4" t="s">
        <v>526</v>
      </c>
      <c r="AB87" s="1">
        <v>5027.1400000000003</v>
      </c>
    </row>
    <row r="88" spans="1:28" x14ac:dyDescent="0.25">
      <c r="A88" s="4" t="s">
        <v>42</v>
      </c>
      <c r="B88" s="1">
        <v>511.1</v>
      </c>
      <c r="AA88" s="4" t="s">
        <v>527</v>
      </c>
      <c r="AB88" s="1">
        <v>3634.16</v>
      </c>
    </row>
    <row r="89" spans="1:28" x14ac:dyDescent="0.25">
      <c r="A89" s="4" t="s">
        <v>27</v>
      </c>
      <c r="B89" s="1">
        <v>471.8</v>
      </c>
      <c r="AA89" s="4" t="s">
        <v>528</v>
      </c>
      <c r="AB89" s="1">
        <v>986.23999999999978</v>
      </c>
    </row>
    <row r="90" spans="1:28" x14ac:dyDescent="0.25">
      <c r="A90" s="4" t="s">
        <v>50</v>
      </c>
      <c r="B90" s="1">
        <v>454.79999999999995</v>
      </c>
      <c r="AA90" s="4" t="s">
        <v>529</v>
      </c>
      <c r="AB90" s="1">
        <v>1898.64</v>
      </c>
    </row>
    <row r="91" spans="1:28" x14ac:dyDescent="0.25">
      <c r="A91" s="4" t="s">
        <v>54</v>
      </c>
      <c r="B91" s="1">
        <v>435.7000000000001</v>
      </c>
      <c r="AA91" s="4" t="s">
        <v>530</v>
      </c>
      <c r="AB91" s="1">
        <v>3753.4599999999982</v>
      </c>
    </row>
    <row r="92" spans="1:28" x14ac:dyDescent="0.25">
      <c r="A92" s="4" t="s">
        <v>61</v>
      </c>
      <c r="B92" s="1">
        <v>396.1</v>
      </c>
      <c r="AA92" s="4" t="s">
        <v>531</v>
      </c>
      <c r="AB92" s="1">
        <v>4606.2499999999982</v>
      </c>
    </row>
    <row r="93" spans="1:28" x14ac:dyDescent="0.25">
      <c r="A93" s="4" t="s">
        <v>56</v>
      </c>
      <c r="B93" s="1">
        <v>375.8</v>
      </c>
      <c r="AA93" s="4" t="s">
        <v>532</v>
      </c>
      <c r="AB93" s="1">
        <v>5128.0600000000004</v>
      </c>
    </row>
    <row r="94" spans="1:28" x14ac:dyDescent="0.25">
      <c r="A94" s="4" t="s">
        <v>24</v>
      </c>
      <c r="B94" s="1">
        <v>369.1</v>
      </c>
      <c r="AA94" s="4" t="s">
        <v>533</v>
      </c>
      <c r="AB94" s="1">
        <v>5383.9999999999991</v>
      </c>
    </row>
    <row r="95" spans="1:28" x14ac:dyDescent="0.25">
      <c r="A95" s="4" t="s">
        <v>82</v>
      </c>
      <c r="B95" s="1">
        <v>346.50000000000006</v>
      </c>
      <c r="AA95" s="4" t="s">
        <v>534</v>
      </c>
      <c r="AB95" s="1">
        <v>1626.2300000000005</v>
      </c>
    </row>
    <row r="96" spans="1:28" x14ac:dyDescent="0.25">
      <c r="A96" s="4" t="s">
        <v>44</v>
      </c>
      <c r="B96" s="1">
        <v>344.50000000000006</v>
      </c>
      <c r="AA96" s="4" t="s">
        <v>496</v>
      </c>
      <c r="AB96" s="1">
        <v>63377.05999999999</v>
      </c>
    </row>
    <row r="97" spans="1:2" x14ac:dyDescent="0.25">
      <c r="A97" s="4" t="s">
        <v>66</v>
      </c>
      <c r="B97" s="1">
        <v>300.20000000000005</v>
      </c>
    </row>
    <row r="98" spans="1:2" x14ac:dyDescent="0.25">
      <c r="A98" s="4" t="s">
        <v>58</v>
      </c>
      <c r="B98" s="1">
        <v>295.60000000000002</v>
      </c>
    </row>
    <row r="99" spans="1:2" x14ac:dyDescent="0.25">
      <c r="A99" s="4" t="s">
        <v>63</v>
      </c>
      <c r="B99" s="1">
        <v>291.7</v>
      </c>
    </row>
    <row r="100" spans="1:2" x14ac:dyDescent="0.25">
      <c r="A100" s="4" t="s">
        <v>72</v>
      </c>
      <c r="B100" s="1">
        <v>273.89999999999998</v>
      </c>
    </row>
    <row r="101" spans="1:2" x14ac:dyDescent="0.25">
      <c r="A101" s="4" t="s">
        <v>69</v>
      </c>
      <c r="B101" s="1">
        <v>273.5</v>
      </c>
    </row>
    <row r="102" spans="1:2" x14ac:dyDescent="0.25">
      <c r="A102" s="4" t="s">
        <v>92</v>
      </c>
      <c r="B102" s="1">
        <v>234.2</v>
      </c>
    </row>
    <row r="103" spans="1:2" x14ac:dyDescent="0.25">
      <c r="A103" s="4" t="s">
        <v>75</v>
      </c>
      <c r="B103" s="1">
        <v>163.79999999999998</v>
      </c>
    </row>
    <row r="104" spans="1:2" x14ac:dyDescent="0.25">
      <c r="A104" s="4" t="s">
        <v>47</v>
      </c>
      <c r="B104" s="1">
        <v>159.9</v>
      </c>
    </row>
    <row r="105" spans="1:2" x14ac:dyDescent="0.25">
      <c r="A105" s="4" t="s">
        <v>96</v>
      </c>
      <c r="B105" s="1">
        <v>157</v>
      </c>
    </row>
    <row r="106" spans="1:2" x14ac:dyDescent="0.25">
      <c r="A106" s="4" t="s">
        <v>85</v>
      </c>
      <c r="B106" s="1">
        <v>155.1</v>
      </c>
    </row>
    <row r="107" spans="1:2" x14ac:dyDescent="0.25">
      <c r="A107" s="4" t="s">
        <v>87</v>
      </c>
      <c r="B107" s="1">
        <v>150.39999999999998</v>
      </c>
    </row>
    <row r="108" spans="1:2" x14ac:dyDescent="0.25">
      <c r="A108" s="4" t="s">
        <v>90</v>
      </c>
      <c r="B108" s="1">
        <v>7.7</v>
      </c>
    </row>
    <row r="109" spans="1:2" x14ac:dyDescent="0.25">
      <c r="A109" s="4" t="s">
        <v>496</v>
      </c>
      <c r="B109" s="1">
        <v>14077.800000000003</v>
      </c>
    </row>
    <row r="113" spans="1:15" ht="24" x14ac:dyDescent="0.4">
      <c r="A113" s="7" t="s">
        <v>536</v>
      </c>
    </row>
    <row r="115" spans="1:15" ht="18.75" x14ac:dyDescent="0.3">
      <c r="A115" s="8" t="s">
        <v>537</v>
      </c>
      <c r="N115" s="8" t="s">
        <v>539</v>
      </c>
    </row>
    <row r="116" spans="1:15" x14ac:dyDescent="0.25">
      <c r="A116" s="3" t="s">
        <v>495</v>
      </c>
      <c r="B116" t="s">
        <v>538</v>
      </c>
      <c r="N116" s="3" t="s">
        <v>495</v>
      </c>
      <c r="O116" t="s">
        <v>540</v>
      </c>
    </row>
    <row r="117" spans="1:15" x14ac:dyDescent="0.25">
      <c r="A117" s="4" t="s">
        <v>232</v>
      </c>
      <c r="B117" s="1">
        <v>9131.7000000000007</v>
      </c>
      <c r="N117" s="4" t="s">
        <v>245</v>
      </c>
      <c r="O117" s="1">
        <v>3605</v>
      </c>
    </row>
    <row r="118" spans="1:15" x14ac:dyDescent="0.25">
      <c r="A118" s="4" t="s">
        <v>167</v>
      </c>
      <c r="B118" s="1">
        <v>8563.5</v>
      </c>
      <c r="N118" s="4" t="s">
        <v>189</v>
      </c>
      <c r="O118" s="1">
        <v>1508</v>
      </c>
    </row>
    <row r="119" spans="1:15" x14ac:dyDescent="0.25">
      <c r="A119" s="4" t="s">
        <v>161</v>
      </c>
      <c r="B119" s="1">
        <v>7962.5999999999995</v>
      </c>
      <c r="N119" s="4" t="s">
        <v>251</v>
      </c>
      <c r="O119" s="1">
        <v>926</v>
      </c>
    </row>
    <row r="120" spans="1:15" x14ac:dyDescent="0.25">
      <c r="A120" s="4" t="s">
        <v>222</v>
      </c>
      <c r="B120" s="1">
        <v>7628.6</v>
      </c>
      <c r="N120" s="4" t="s">
        <v>150</v>
      </c>
      <c r="O120" s="1">
        <v>801</v>
      </c>
    </row>
    <row r="121" spans="1:15" x14ac:dyDescent="0.25">
      <c r="A121" s="4" t="s">
        <v>264</v>
      </c>
      <c r="B121" s="1">
        <v>7510.5</v>
      </c>
      <c r="N121" s="4" t="s">
        <v>211</v>
      </c>
      <c r="O121" s="1">
        <v>1073</v>
      </c>
    </row>
    <row r="122" spans="1:15" x14ac:dyDescent="0.25">
      <c r="A122" s="4" t="s">
        <v>251</v>
      </c>
      <c r="B122" s="1">
        <v>7367.5</v>
      </c>
      <c r="N122" s="4" t="s">
        <v>232</v>
      </c>
      <c r="O122" s="1">
        <v>883</v>
      </c>
    </row>
    <row r="123" spans="1:15" x14ac:dyDescent="0.25">
      <c r="A123" s="4" t="s">
        <v>245</v>
      </c>
      <c r="B123" s="1">
        <v>7202.1</v>
      </c>
      <c r="N123" s="4" t="s">
        <v>195</v>
      </c>
      <c r="O123" s="1">
        <v>822</v>
      </c>
    </row>
    <row r="124" spans="1:15" x14ac:dyDescent="0.25">
      <c r="A124" s="4" t="s">
        <v>228</v>
      </c>
      <c r="B124" s="1">
        <v>7074</v>
      </c>
      <c r="N124" s="4" t="s">
        <v>167</v>
      </c>
      <c r="O124" s="1">
        <v>2272</v>
      </c>
    </row>
    <row r="125" spans="1:15" x14ac:dyDescent="0.25">
      <c r="A125" s="4" t="s">
        <v>154</v>
      </c>
      <c r="B125" s="1">
        <v>6976.5</v>
      </c>
      <c r="N125" s="4" t="s">
        <v>161</v>
      </c>
      <c r="O125" s="1">
        <v>2299</v>
      </c>
    </row>
    <row r="126" spans="1:15" x14ac:dyDescent="0.25">
      <c r="A126" s="4" t="s">
        <v>150</v>
      </c>
      <c r="B126" s="1">
        <v>6817.9000000000005</v>
      </c>
      <c r="N126" s="4" t="s">
        <v>165</v>
      </c>
      <c r="O126" s="1">
        <v>1095</v>
      </c>
    </row>
    <row r="127" spans="1:15" x14ac:dyDescent="0.25">
      <c r="A127" s="4" t="s">
        <v>496</v>
      </c>
      <c r="B127" s="1">
        <v>76234.899999999994</v>
      </c>
      <c r="N127" s="4" t="s">
        <v>180</v>
      </c>
      <c r="O127" s="1">
        <v>2529</v>
      </c>
    </row>
    <row r="128" spans="1:15" x14ac:dyDescent="0.25">
      <c r="N128" s="4" t="s">
        <v>242</v>
      </c>
      <c r="O128" s="1">
        <v>3920</v>
      </c>
    </row>
    <row r="129" spans="14:15" x14ac:dyDescent="0.25">
      <c r="N129" s="4" t="s">
        <v>222</v>
      </c>
      <c r="O129" s="1">
        <v>4120</v>
      </c>
    </row>
    <row r="130" spans="14:15" x14ac:dyDescent="0.25">
      <c r="N130" s="4" t="s">
        <v>154</v>
      </c>
      <c r="O130" s="1">
        <v>721</v>
      </c>
    </row>
    <row r="131" spans="14:15" x14ac:dyDescent="0.25">
      <c r="N131" s="4" t="s">
        <v>261</v>
      </c>
      <c r="O131" s="1">
        <v>607</v>
      </c>
    </row>
    <row r="132" spans="14:15" x14ac:dyDescent="0.25">
      <c r="N132" s="4" t="s">
        <v>170</v>
      </c>
      <c r="O132" s="1">
        <v>1258</v>
      </c>
    </row>
    <row r="133" spans="14:15" x14ac:dyDescent="0.25">
      <c r="N133" s="4" t="s">
        <v>133</v>
      </c>
      <c r="O133" s="1">
        <v>580</v>
      </c>
    </row>
    <row r="134" spans="14:15" x14ac:dyDescent="0.25">
      <c r="N134" s="4" t="s">
        <v>228</v>
      </c>
      <c r="O134" s="1">
        <v>3556</v>
      </c>
    </row>
    <row r="135" spans="14:15" x14ac:dyDescent="0.25">
      <c r="N135" s="4" t="s">
        <v>237</v>
      </c>
      <c r="O135" s="1">
        <v>2082</v>
      </c>
    </row>
    <row r="136" spans="14:15" x14ac:dyDescent="0.25">
      <c r="N136" s="4" t="s">
        <v>173</v>
      </c>
      <c r="O136" s="1">
        <v>2383</v>
      </c>
    </row>
    <row r="137" spans="14:15" x14ac:dyDescent="0.25">
      <c r="N137" s="4" t="s">
        <v>177</v>
      </c>
      <c r="O137" s="1">
        <v>550</v>
      </c>
    </row>
    <row r="138" spans="14:15" x14ac:dyDescent="0.25">
      <c r="N138" s="4" t="s">
        <v>220</v>
      </c>
      <c r="O138" s="1">
        <v>4524</v>
      </c>
    </row>
    <row r="139" spans="14:15" x14ac:dyDescent="0.25">
      <c r="N139" s="4" t="s">
        <v>182</v>
      </c>
      <c r="O139" s="1">
        <v>3866</v>
      </c>
    </row>
    <row r="140" spans="14:15" x14ac:dyDescent="0.25">
      <c r="N140" s="4" t="s">
        <v>141</v>
      </c>
      <c r="O140" s="1">
        <v>666</v>
      </c>
    </row>
    <row r="141" spans="14:15" x14ac:dyDescent="0.25">
      <c r="N141" s="4" t="s">
        <v>203</v>
      </c>
      <c r="O141" s="1">
        <v>885</v>
      </c>
    </row>
    <row r="142" spans="14:15" x14ac:dyDescent="0.25">
      <c r="N142" s="4" t="s">
        <v>256</v>
      </c>
      <c r="O142" s="1">
        <v>866</v>
      </c>
    </row>
    <row r="143" spans="14:15" x14ac:dyDescent="0.25">
      <c r="N143" s="4" t="s">
        <v>146</v>
      </c>
      <c r="O143" s="1">
        <v>810</v>
      </c>
    </row>
    <row r="144" spans="14:15" x14ac:dyDescent="0.25">
      <c r="N144" s="4" t="s">
        <v>239</v>
      </c>
      <c r="O144" s="1">
        <v>2904</v>
      </c>
    </row>
    <row r="145" spans="1:15" x14ac:dyDescent="0.25">
      <c r="N145" s="4" t="s">
        <v>193</v>
      </c>
      <c r="O145" s="1">
        <v>1736</v>
      </c>
    </row>
    <row r="146" spans="1:15" x14ac:dyDescent="0.25">
      <c r="N146" s="4" t="s">
        <v>266</v>
      </c>
      <c r="O146" s="1">
        <v>1037</v>
      </c>
    </row>
    <row r="147" spans="1:15" x14ac:dyDescent="0.25">
      <c r="N147" s="4" t="s">
        <v>186</v>
      </c>
      <c r="O147" s="1">
        <v>2238</v>
      </c>
    </row>
    <row r="148" spans="1:15" x14ac:dyDescent="0.25">
      <c r="N148" s="4" t="s">
        <v>207</v>
      </c>
      <c r="O148" s="1">
        <v>538</v>
      </c>
    </row>
    <row r="149" spans="1:15" x14ac:dyDescent="0.25">
      <c r="N149" s="4" t="s">
        <v>225</v>
      </c>
      <c r="O149" s="1">
        <v>3753</v>
      </c>
    </row>
    <row r="150" spans="1:15" x14ac:dyDescent="0.25">
      <c r="N150" s="4" t="s">
        <v>249</v>
      </c>
      <c r="O150" s="1">
        <v>861</v>
      </c>
    </row>
    <row r="151" spans="1:15" x14ac:dyDescent="0.25">
      <c r="N151" s="4" t="s">
        <v>157</v>
      </c>
      <c r="O151" s="1">
        <v>530</v>
      </c>
    </row>
    <row r="152" spans="1:15" x14ac:dyDescent="0.25">
      <c r="N152" s="4" t="s">
        <v>253</v>
      </c>
      <c r="O152" s="1">
        <v>1172</v>
      </c>
    </row>
    <row r="153" spans="1:15" x14ac:dyDescent="0.25">
      <c r="N153" s="4" t="s">
        <v>215</v>
      </c>
      <c r="O153" s="1">
        <v>2575</v>
      </c>
    </row>
    <row r="154" spans="1:15" x14ac:dyDescent="0.25">
      <c r="N154" s="4" t="s">
        <v>137</v>
      </c>
      <c r="O154" s="1">
        <v>719</v>
      </c>
    </row>
    <row r="155" spans="1:15" x14ac:dyDescent="0.25">
      <c r="N155" s="4" t="s">
        <v>264</v>
      </c>
      <c r="O155" s="1">
        <v>2140</v>
      </c>
    </row>
    <row r="156" spans="1:15" x14ac:dyDescent="0.25">
      <c r="N156" s="4" t="s">
        <v>199</v>
      </c>
      <c r="O156" s="1">
        <v>1621</v>
      </c>
    </row>
    <row r="157" spans="1:15" x14ac:dyDescent="0.25">
      <c r="N157" s="4" t="s">
        <v>496</v>
      </c>
      <c r="O157" s="1">
        <v>71031</v>
      </c>
    </row>
    <row r="159" spans="1:15" ht="24" x14ac:dyDescent="0.4">
      <c r="A159" s="7" t="s">
        <v>541</v>
      </c>
    </row>
    <row r="161" spans="1:30" ht="18.75" x14ac:dyDescent="0.3">
      <c r="A161" s="8" t="s">
        <v>542</v>
      </c>
      <c r="N161" s="8" t="s">
        <v>544</v>
      </c>
      <c r="AC161" s="8" t="s">
        <v>555</v>
      </c>
    </row>
    <row r="162" spans="1:30" x14ac:dyDescent="0.25">
      <c r="A162" s="3" t="s">
        <v>495</v>
      </c>
      <c r="B162" t="s">
        <v>543</v>
      </c>
      <c r="N162" s="3" t="s">
        <v>495</v>
      </c>
      <c r="O162" t="s">
        <v>545</v>
      </c>
      <c r="AC162" s="3" t="s">
        <v>495</v>
      </c>
      <c r="AD162" t="s">
        <v>545</v>
      </c>
    </row>
    <row r="163" spans="1:30" x14ac:dyDescent="0.25">
      <c r="A163" s="4" t="s">
        <v>315</v>
      </c>
      <c r="B163" s="1">
        <v>537</v>
      </c>
      <c r="N163" s="4" t="s">
        <v>111</v>
      </c>
      <c r="O163" s="1">
        <v>22</v>
      </c>
      <c r="AC163" s="4">
        <v>2010</v>
      </c>
      <c r="AD163" s="1">
        <v>2</v>
      </c>
    </row>
    <row r="164" spans="1:30" x14ac:dyDescent="0.25">
      <c r="A164" s="4" t="s">
        <v>431</v>
      </c>
      <c r="B164" s="1">
        <v>241</v>
      </c>
      <c r="N164" s="4" t="s">
        <v>546</v>
      </c>
      <c r="O164" s="1">
        <v>10</v>
      </c>
      <c r="AC164" s="4">
        <v>2011</v>
      </c>
      <c r="AD164" s="1">
        <v>1</v>
      </c>
    </row>
    <row r="165" spans="1:30" x14ac:dyDescent="0.25">
      <c r="A165" s="4" t="s">
        <v>340</v>
      </c>
      <c r="B165" s="1">
        <v>224</v>
      </c>
      <c r="N165" s="4" t="s">
        <v>108</v>
      </c>
      <c r="O165" s="1">
        <v>8</v>
      </c>
      <c r="AC165" s="4">
        <v>2012</v>
      </c>
      <c r="AD165" s="1">
        <v>1</v>
      </c>
    </row>
    <row r="166" spans="1:30" x14ac:dyDescent="0.25">
      <c r="A166" s="4" t="s">
        <v>368</v>
      </c>
      <c r="B166" s="1">
        <v>189</v>
      </c>
      <c r="N166" s="4" t="s">
        <v>496</v>
      </c>
      <c r="O166" s="1">
        <v>40</v>
      </c>
      <c r="AC166" s="4">
        <v>2013</v>
      </c>
      <c r="AD166" s="1">
        <v>1</v>
      </c>
    </row>
    <row r="167" spans="1:30" x14ac:dyDescent="0.25">
      <c r="A167" s="4" t="s">
        <v>466</v>
      </c>
      <c r="B167" s="1">
        <v>179</v>
      </c>
      <c r="AC167" s="4">
        <v>2014</v>
      </c>
      <c r="AD167" s="1">
        <v>4</v>
      </c>
    </row>
    <row r="168" spans="1:30" x14ac:dyDescent="0.25">
      <c r="A168" s="4" t="s">
        <v>291</v>
      </c>
      <c r="B168" s="1">
        <v>179</v>
      </c>
      <c r="AC168" s="4">
        <v>2015</v>
      </c>
      <c r="AD168" s="1">
        <v>2</v>
      </c>
    </row>
    <row r="169" spans="1:30" x14ac:dyDescent="0.25">
      <c r="A169" s="4" t="s">
        <v>387</v>
      </c>
      <c r="B169" s="1">
        <v>176</v>
      </c>
      <c r="AC169" s="4">
        <v>2016</v>
      </c>
      <c r="AD169" s="1">
        <v>2</v>
      </c>
    </row>
    <row r="170" spans="1:30" x14ac:dyDescent="0.25">
      <c r="A170" s="4" t="s">
        <v>75</v>
      </c>
      <c r="B170" s="1">
        <v>162</v>
      </c>
      <c r="AC170" s="4">
        <v>2017</v>
      </c>
      <c r="AD170" s="1">
        <v>1</v>
      </c>
    </row>
    <row r="171" spans="1:30" x14ac:dyDescent="0.25">
      <c r="A171" s="4" t="s">
        <v>373</v>
      </c>
      <c r="B171" s="1">
        <v>157</v>
      </c>
      <c r="AC171" s="4">
        <v>2018</v>
      </c>
      <c r="AD171" s="1">
        <v>2</v>
      </c>
    </row>
    <row r="172" spans="1:30" x14ac:dyDescent="0.25">
      <c r="A172" s="4" t="s">
        <v>335</v>
      </c>
      <c r="B172" s="1">
        <v>150</v>
      </c>
      <c r="AC172" s="4">
        <v>2019</v>
      </c>
      <c r="AD172" s="1">
        <v>3</v>
      </c>
    </row>
    <row r="173" spans="1:30" x14ac:dyDescent="0.25">
      <c r="A173" s="4" t="s">
        <v>56</v>
      </c>
      <c r="B173" s="1">
        <v>132</v>
      </c>
      <c r="AC173" s="4">
        <v>2020</v>
      </c>
      <c r="AD173" s="1">
        <v>3</v>
      </c>
    </row>
    <row r="174" spans="1:30" x14ac:dyDescent="0.25">
      <c r="A174" s="4" t="s">
        <v>303</v>
      </c>
      <c r="B174" s="1">
        <v>127</v>
      </c>
      <c r="AC174" s="4">
        <v>2021</v>
      </c>
      <c r="AD174" s="1">
        <v>2</v>
      </c>
    </row>
    <row r="175" spans="1:30" x14ac:dyDescent="0.25">
      <c r="A175" s="4" t="s">
        <v>392</v>
      </c>
      <c r="B175" s="1">
        <v>97</v>
      </c>
      <c r="AC175" s="4">
        <v>2022</v>
      </c>
      <c r="AD175" s="1">
        <v>4</v>
      </c>
    </row>
    <row r="176" spans="1:30" x14ac:dyDescent="0.25">
      <c r="A176" s="4" t="s">
        <v>284</v>
      </c>
      <c r="B176" s="1">
        <v>96</v>
      </c>
      <c r="AC176" s="4">
        <v>2023</v>
      </c>
      <c r="AD176" s="1">
        <v>2</v>
      </c>
    </row>
    <row r="177" spans="1:30" x14ac:dyDescent="0.25">
      <c r="A177" s="4" t="s">
        <v>297</v>
      </c>
      <c r="B177" s="1">
        <v>81</v>
      </c>
      <c r="AC177" s="4">
        <v>2024</v>
      </c>
      <c r="AD177" s="1">
        <v>5</v>
      </c>
    </row>
    <row r="178" spans="1:30" x14ac:dyDescent="0.25">
      <c r="A178" s="4" t="s">
        <v>471</v>
      </c>
      <c r="B178" s="1">
        <v>67</v>
      </c>
      <c r="AC178" s="4">
        <v>2025</v>
      </c>
      <c r="AD178" s="1">
        <v>4</v>
      </c>
    </row>
    <row r="179" spans="1:30" x14ac:dyDescent="0.25">
      <c r="A179" s="4" t="s">
        <v>351</v>
      </c>
      <c r="B179" s="1">
        <v>66</v>
      </c>
      <c r="AC179" s="4">
        <v>2026</v>
      </c>
      <c r="AD179" s="1">
        <v>1</v>
      </c>
    </row>
    <row r="180" spans="1:30" x14ac:dyDescent="0.25">
      <c r="A180" s="4" t="s">
        <v>455</v>
      </c>
      <c r="B180" s="1">
        <v>62</v>
      </c>
      <c r="AC180" s="4" t="s">
        <v>496</v>
      </c>
      <c r="AD180" s="1">
        <v>40</v>
      </c>
    </row>
    <row r="181" spans="1:30" x14ac:dyDescent="0.25">
      <c r="A181" s="4" t="s">
        <v>401</v>
      </c>
      <c r="B181" s="1">
        <v>62</v>
      </c>
    </row>
    <row r="182" spans="1:30" x14ac:dyDescent="0.25">
      <c r="A182" s="4" t="s">
        <v>346</v>
      </c>
      <c r="B182" s="1">
        <v>62</v>
      </c>
    </row>
    <row r="183" spans="1:30" x14ac:dyDescent="0.25">
      <c r="A183" s="4" t="s">
        <v>324</v>
      </c>
      <c r="B183" s="1">
        <v>48</v>
      </c>
    </row>
    <row r="184" spans="1:30" x14ac:dyDescent="0.25">
      <c r="A184" s="4" t="s">
        <v>47</v>
      </c>
      <c r="B184" s="1">
        <v>41</v>
      </c>
    </row>
    <row r="185" spans="1:30" x14ac:dyDescent="0.25">
      <c r="A185" s="4" t="s">
        <v>460</v>
      </c>
      <c r="B185" s="1">
        <v>38</v>
      </c>
    </row>
    <row r="186" spans="1:30" x14ac:dyDescent="0.25">
      <c r="A186" s="4" t="s">
        <v>58</v>
      </c>
      <c r="B186" s="1">
        <v>5</v>
      </c>
    </row>
    <row r="187" spans="1:30" x14ac:dyDescent="0.25">
      <c r="A187" s="4" t="s">
        <v>309</v>
      </c>
      <c r="B187" s="1">
        <v>3</v>
      </c>
    </row>
    <row r="188" spans="1:30" x14ac:dyDescent="0.25">
      <c r="A188" s="4" t="s">
        <v>410</v>
      </c>
      <c r="B188" s="1">
        <v>3</v>
      </c>
    </row>
    <row r="189" spans="1:30" x14ac:dyDescent="0.25">
      <c r="A189" s="4" t="s">
        <v>361</v>
      </c>
      <c r="B189" s="1">
        <v>1</v>
      </c>
    </row>
    <row r="190" spans="1:30" x14ac:dyDescent="0.25">
      <c r="A190" s="4" t="s">
        <v>421</v>
      </c>
      <c r="B190" s="1">
        <v>0</v>
      </c>
    </row>
    <row r="191" spans="1:30" x14ac:dyDescent="0.25">
      <c r="A191" s="4" t="s">
        <v>425</v>
      </c>
      <c r="B191" s="1">
        <v>0</v>
      </c>
    </row>
    <row r="192" spans="1:30" x14ac:dyDescent="0.25">
      <c r="A192" s="4" t="s">
        <v>487</v>
      </c>
      <c r="B192" s="1">
        <v>0</v>
      </c>
    </row>
    <row r="193" spans="1:2" x14ac:dyDescent="0.25">
      <c r="A193" s="4" t="s">
        <v>39</v>
      </c>
      <c r="B193" s="1">
        <v>0</v>
      </c>
    </row>
    <row r="194" spans="1:2" x14ac:dyDescent="0.25">
      <c r="A194" s="4" t="s">
        <v>17</v>
      </c>
      <c r="B194" s="1">
        <v>0</v>
      </c>
    </row>
    <row r="195" spans="1:2" x14ac:dyDescent="0.25">
      <c r="A195" s="4" t="s">
        <v>383</v>
      </c>
      <c r="B195" s="1">
        <v>0</v>
      </c>
    </row>
    <row r="196" spans="1:2" x14ac:dyDescent="0.25">
      <c r="A196" s="4" t="s">
        <v>24</v>
      </c>
      <c r="B196" s="1">
        <v>0</v>
      </c>
    </row>
    <row r="197" spans="1:2" x14ac:dyDescent="0.25">
      <c r="A197" s="4" t="s">
        <v>477</v>
      </c>
      <c r="B197" s="1">
        <v>0</v>
      </c>
    </row>
    <row r="198" spans="1:2" x14ac:dyDescent="0.25">
      <c r="A198" s="4" t="s">
        <v>78</v>
      </c>
      <c r="B198" s="1">
        <v>0</v>
      </c>
    </row>
    <row r="199" spans="1:2" x14ac:dyDescent="0.25">
      <c r="A199" s="4" t="s">
        <v>438</v>
      </c>
      <c r="B199" s="1">
        <v>0</v>
      </c>
    </row>
    <row r="200" spans="1:2" x14ac:dyDescent="0.25">
      <c r="A200" s="4" t="s">
        <v>496</v>
      </c>
      <c r="B200" s="1">
        <v>3185</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1B0F-1976-4B65-868E-021F1FFB10F9}">
  <sheetPr>
    <tabColor rgb="FF00B0F0"/>
  </sheetPr>
  <dimension ref="D4"/>
  <sheetViews>
    <sheetView tabSelected="1" view="pageBreakPreview" zoomScale="60" zoomScaleNormal="100" workbookViewId="0">
      <selection activeCell="U59" sqref="U59"/>
    </sheetView>
  </sheetViews>
  <sheetFormatPr defaultRowHeight="15" x14ac:dyDescent="0.25"/>
  <sheetData>
    <row r="4" spans="4:4" x14ac:dyDescent="0.25">
      <c r="D4"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B38E52-05AD-4425-8D0D-DB46BCAC36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airline_financials</vt:lpstr>
      <vt:lpstr>fleet_orders</vt:lpstr>
      <vt:lpstr>passenger_traffic</vt:lpstr>
      <vt:lpstr>route_performance</vt:lpstr>
      <vt:lpstr>aviation_incidents</vt:lpstr>
      <vt:lpstr>Analysis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Nihal Shaikh</dc:creator>
  <cp:lastModifiedBy>Nihal Shaikh</cp:lastModifiedBy>
  <dcterms:created xsi:type="dcterms:W3CDTF">2026-07-31T08:37:21Z</dcterms:created>
  <dcterms:modified xsi:type="dcterms:W3CDTF">2026-08-02T15:03:32Z</dcterms:modified>
</cp:coreProperties>
</file>